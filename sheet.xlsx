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-2026" sheetId="1" r:id="rId5"/>
    <sheet state="visible" name="Compare Sep-26" sheetId="2" r:id="rId6"/>
    <sheet state="visible" name="Month Closing-sep-26" sheetId="3" r:id="rId7"/>
    <sheet state="hidden" name="Monthly Installment Recovery" sheetId="4" r:id="rId8"/>
    <sheet state="hidden" name="Monthly Total  Sumery" sheetId="5" r:id="rId9"/>
    <sheet state="hidden" name="Month Closing-July-26" sheetId="6" r:id="rId10"/>
    <sheet state="hidden" name="Budget" sheetId="7" r:id="rId11"/>
    <sheet state="hidden" name="Helper" sheetId="8" r:id="rId12"/>
  </sheets>
  <definedNames>
    <definedName hidden="1" localSheetId="0" name="Z_8036E9D4_C97E_491C_89D0_CF52B6E19C7E_.wvu.FilterData">'September-2026'!$A$1:$E$189</definedName>
    <definedName hidden="1" localSheetId="0" name="Z_DD3E0C5D_AF15_4D2B_920F_98B8B2A954ED_.wvu.FilterData">'September-2026'!$A$1:$E$189</definedName>
  </definedNames>
  <calcPr/>
  <customWorkbookViews>
    <customWorkbookView activeSheetId="0" maximized="1" windowHeight="0" windowWidth="0" guid="{8036E9D4-C97E-491C-89D0-CF52B6E19C7E}" name="Filter 1"/>
    <customWorkbookView activeSheetId="0" maximized="1" windowHeight="0" windowWidth="0" guid="{DD3E0C5D-AF15-4D2B-920F-98B8B2A954ED}" name="Copy of Filter 1"/>
  </customWorkbookViews>
</workbook>
</file>

<file path=xl/sharedStrings.xml><?xml version="1.0" encoding="utf-8"?>
<sst xmlns="http://schemas.openxmlformats.org/spreadsheetml/2006/main" count="1388" uniqueCount="173">
  <si>
    <t xml:space="preserve">  </t>
  </si>
  <si>
    <t>Bandhu Kallyan Foundation</t>
  </si>
  <si>
    <t xml:space="preserve">বন্ধু কল্যাণ ফাউন্ডেশন </t>
  </si>
  <si>
    <t>বন্ধু কল্যাণ ফাউন্ডেশন</t>
  </si>
  <si>
    <t>Narail Area</t>
  </si>
  <si>
    <t>Month-August-26</t>
  </si>
  <si>
    <t>নড়াইল এরিয়া</t>
  </si>
  <si>
    <t>Day</t>
  </si>
  <si>
    <t xml:space="preserve">শাখা ভিত্তিক মাসিক অর্জন সিট </t>
  </si>
  <si>
    <t>ফেব্রুয়ারী-২৩ মাসে বিতরনকৃত মাসিক অগ্রসর ঋণের আদায় তথ্য</t>
  </si>
  <si>
    <t>মাসের নামঃ- ফেব্রুয়ারী-২০২৩</t>
  </si>
  <si>
    <t>মাসের নাম- আগষ্ট-২০২৬</t>
  </si>
  <si>
    <t>ক্রঃনং</t>
  </si>
  <si>
    <t>এরিয়ার নাম</t>
  </si>
  <si>
    <t>শাখার নাম</t>
  </si>
  <si>
    <t>নড়াইল এরিয়া</t>
  </si>
  <si>
    <t>নভেম্বর-২১ হতে-জানুয়ারী-২৩ পর্যন্ত  মাসিক ঋণ বিতরন</t>
  </si>
  <si>
    <t xml:space="preserve"> </t>
  </si>
  <si>
    <t>আদায়</t>
  </si>
  <si>
    <t>ZvwiL =30/12/25</t>
  </si>
  <si>
    <t>আদায় হার</t>
  </si>
  <si>
    <t>ক্র নং</t>
  </si>
  <si>
    <t>ডি,পি,এস</t>
  </si>
  <si>
    <t>সমিতি</t>
  </si>
  <si>
    <t>১ বছর</t>
  </si>
  <si>
    <t>সদস্য</t>
  </si>
  <si>
    <t>১৮ মাস</t>
  </si>
  <si>
    <t>২ বছর</t>
  </si>
  <si>
    <t>মোট</t>
  </si>
  <si>
    <t>ঋণী</t>
  </si>
  <si>
    <t>সঞ্চয় স্থিতি</t>
  </si>
  <si>
    <t>পার্থক্য</t>
  </si>
  <si>
    <t>ঋণ স্থিতি</t>
  </si>
  <si>
    <t>সাধারণ বকেয়া</t>
  </si>
  <si>
    <t>OTR</t>
  </si>
  <si>
    <t>হ্রাস /বৃদ্ধি</t>
  </si>
  <si>
    <t>হাতে নগদ</t>
  </si>
  <si>
    <t>ব্যাংক</t>
  </si>
  <si>
    <t>লাভ/ক্ষতি</t>
  </si>
  <si>
    <t>বিতরণ- আগষ্ট-২৬</t>
  </si>
  <si>
    <t>Date:-</t>
  </si>
  <si>
    <t>বিগত মাস</t>
  </si>
  <si>
    <t>সংখ্যা</t>
  </si>
  <si>
    <t>এ মাস</t>
  </si>
  <si>
    <t>টাকা</t>
  </si>
  <si>
    <t>এ মাসে</t>
  </si>
  <si>
    <t>এ বছর</t>
  </si>
  <si>
    <t>১</t>
  </si>
  <si>
    <t>এ যাবৎ</t>
  </si>
  <si>
    <t>নড়াইল সদর</t>
  </si>
  <si>
    <t>Date:</t>
  </si>
  <si>
    <t>২</t>
  </si>
  <si>
    <t>বাঘার পাড়া</t>
  </si>
  <si>
    <t>Branch</t>
  </si>
  <si>
    <t>৩</t>
  </si>
  <si>
    <t>লোহাগড়া</t>
  </si>
  <si>
    <t xml:space="preserve">নড়াইল সদর </t>
  </si>
  <si>
    <t>৪</t>
  </si>
  <si>
    <t>Member</t>
  </si>
  <si>
    <t>মহাজন</t>
  </si>
  <si>
    <t>৫</t>
  </si>
  <si>
    <t>নলদী</t>
  </si>
  <si>
    <t>Inc  / Dec</t>
  </si>
  <si>
    <t>৬</t>
  </si>
  <si>
    <t>গোবড়া</t>
  </si>
  <si>
    <t>Loanee</t>
  </si>
  <si>
    <t>Savings</t>
  </si>
  <si>
    <t>Outstading</t>
  </si>
  <si>
    <t>Diferent</t>
  </si>
  <si>
    <t>O.T.R</t>
  </si>
  <si>
    <t>Dis</t>
  </si>
  <si>
    <t>Monthly</t>
  </si>
  <si>
    <t>Due</t>
  </si>
  <si>
    <t>overdue</t>
  </si>
  <si>
    <t>SL</t>
  </si>
  <si>
    <t>Cash In Hand</t>
  </si>
  <si>
    <t xml:space="preserve">নলদী </t>
  </si>
  <si>
    <t>BANK</t>
  </si>
  <si>
    <t>Date</t>
  </si>
  <si>
    <t>Monthly Kisti Aday       ( % )</t>
  </si>
  <si>
    <t>Weekly Loney</t>
  </si>
  <si>
    <t>Actul Mem</t>
  </si>
  <si>
    <t>Lonee</t>
  </si>
  <si>
    <t xml:space="preserve">লোহাগড়া </t>
  </si>
  <si>
    <t>Actul Lonee</t>
  </si>
  <si>
    <t>This Month Savings Collection</t>
  </si>
  <si>
    <t>This Month Savings Return</t>
  </si>
  <si>
    <t xml:space="preserve">মহাজন </t>
  </si>
  <si>
    <t>Reguler Terget (Loan)</t>
  </si>
  <si>
    <t>Reguler Achiv (Loan)</t>
  </si>
  <si>
    <t>Exced Over Due Collection</t>
  </si>
  <si>
    <t xml:space="preserve">গোবরা </t>
  </si>
  <si>
    <t>Ad. Collection</t>
  </si>
  <si>
    <t>Over due De/Inc</t>
  </si>
  <si>
    <t>Monthly Installment</t>
  </si>
  <si>
    <t>DPS</t>
  </si>
  <si>
    <t>Total</t>
  </si>
  <si>
    <t>Today Disbument</t>
  </si>
  <si>
    <t xml:space="preserve">মোট </t>
  </si>
  <si>
    <t>Aday</t>
  </si>
  <si>
    <t>Up To</t>
  </si>
  <si>
    <t>This Month</t>
  </si>
  <si>
    <t>Grant Total Disbument</t>
  </si>
  <si>
    <t>Loan Outstanding</t>
  </si>
  <si>
    <t>Overdue Outstanding</t>
  </si>
  <si>
    <t>Narail</t>
  </si>
  <si>
    <t>Recovary Rate</t>
  </si>
  <si>
    <t>Cash in Hand</t>
  </si>
  <si>
    <t>Bank</t>
  </si>
  <si>
    <t>Terget</t>
  </si>
  <si>
    <t>Achive</t>
  </si>
  <si>
    <t>Curent Due</t>
  </si>
  <si>
    <t>Ex Due</t>
  </si>
  <si>
    <t>Ammount</t>
  </si>
  <si>
    <t>Taka</t>
  </si>
  <si>
    <t>Lohagora</t>
  </si>
  <si>
    <t>হলুদ চিহ্নিত ঘরে সূত্র দেওয়া। হলুদ ঘরে লেখা যাবে না ।</t>
  </si>
  <si>
    <t>শাখা</t>
  </si>
  <si>
    <t>সঞ্চয় লভ্যাংশ</t>
  </si>
  <si>
    <t>gobra</t>
  </si>
  <si>
    <t>মাসিক কিস্তির সংখ্যা</t>
  </si>
  <si>
    <t>আদায়যোগ্য</t>
  </si>
  <si>
    <t>আদায়কৃত</t>
  </si>
  <si>
    <t>Mohajon</t>
  </si>
  <si>
    <t>বিগত পার</t>
  </si>
  <si>
    <t>এ মাসে পার</t>
  </si>
  <si>
    <t>রাইট অফ আদায়</t>
  </si>
  <si>
    <t>বকেয়া গত মাস</t>
  </si>
  <si>
    <t>Noldi</t>
  </si>
  <si>
    <t>বকেয়া এ মাস</t>
  </si>
  <si>
    <t>LLP</t>
  </si>
  <si>
    <t>চলতি বকেয়া</t>
  </si>
  <si>
    <t>এ মাসে নতুন</t>
  </si>
  <si>
    <t>গত মাস</t>
  </si>
  <si>
    <t>বর্তমান মাস</t>
  </si>
  <si>
    <t>31/08/26</t>
  </si>
  <si>
    <t>Ex Recovery</t>
  </si>
  <si>
    <t>Overdue</t>
  </si>
  <si>
    <t>কল্যাণ তহবিল ফেরত</t>
  </si>
  <si>
    <t>ঋণ আদায়</t>
  </si>
  <si>
    <t>31/8/26 ডিপিএস নতুন</t>
  </si>
  <si>
    <t>পূর্ণ ডিপিএস ফেরত</t>
  </si>
  <si>
    <t>সঞ্চয়</t>
  </si>
  <si>
    <t>ঋণ</t>
  </si>
  <si>
    <t>সাঃচার্জ</t>
  </si>
  <si>
    <t>ফেরত</t>
  </si>
  <si>
    <t>Gobra</t>
  </si>
  <si>
    <t>Total Monthly Collection</t>
  </si>
  <si>
    <t>Bandhu kallayan Foundation</t>
  </si>
  <si>
    <t>Rajghat,Abhaynagor, Jessore</t>
  </si>
  <si>
    <t>Narail Sodor</t>
  </si>
  <si>
    <t>Naldi</t>
  </si>
  <si>
    <t>Bagharpara</t>
  </si>
  <si>
    <t xml:space="preserve">শাখা ভিত্তিক মাসিক অ্যাচিভমেন্ট সিট </t>
  </si>
  <si>
    <t>মাসের নাম- জুন-২০২৬</t>
  </si>
  <si>
    <t xml:space="preserve">Bandhu Kallayn Foundation </t>
  </si>
  <si>
    <t>বিতরণ- জুন-২৬</t>
  </si>
  <si>
    <t>Branch Name:</t>
  </si>
  <si>
    <t>Narail Sador</t>
  </si>
  <si>
    <t>Budget 2022-2023</t>
  </si>
  <si>
    <t xml:space="preserve">Description </t>
  </si>
  <si>
    <t>Outstanding- Jun-26</t>
  </si>
  <si>
    <t>End Outstanding</t>
  </si>
  <si>
    <t>Loan</t>
  </si>
  <si>
    <t>Over Due</t>
  </si>
  <si>
    <t>Mahajon</t>
  </si>
  <si>
    <t>30/06/26</t>
  </si>
  <si>
    <t>30/6/26 ডিপিএস নতুন</t>
  </si>
  <si>
    <t>1/106310</t>
  </si>
  <si>
    <t>Total Area</t>
  </si>
  <si>
    <t>]</t>
  </si>
  <si>
    <t xml:space="preserve"> Fund Account-Jagoran</t>
  </si>
  <si>
    <t>Upto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</si>
</sst>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dd"/>
    <numFmt numFmtId="165" formatCode="d&quot;-&quot;mmm&quot;-&quot;yyyy"/>
    <numFmt numFmtId="166" formatCode="[$-409]d\-mmm\-yy"/>
    <numFmt numFmtId="167" formatCode="[$-5000445]0"/>
    <numFmt numFmtId="168" formatCode="d&quot;-&quot;mmm&quot;-&quot;yy"/>
    <numFmt numFmtId="169" formatCode="dd&quot;-&quot;mmm&quot;-&quot;yy"/>
    <numFmt numFmtId="170" formatCode="mmm-d"/>
    <numFmt numFmtId="171" formatCode="mmm-yy"/>
    <numFmt numFmtId="172" formatCode="#,##0;(#,##0)"/>
  </numFmts>
  <fonts count="37">
    <font>
      <sz val="10.0"/>
      <color rgb="FF000000"/>
      <name val="Arial"/>
      <scheme val="minor"/>
    </font>
    <font>
      <sz val="40.0"/>
      <color theme="1"/>
      <name val="Arial"/>
    </font>
    <font>
      <sz val="43.0"/>
      <color theme="1"/>
      <name val="Tiro Bangla"/>
    </font>
    <font>
      <sz val="20.0"/>
      <color theme="1"/>
      <name val="Arial"/>
    </font>
    <font>
      <color theme="1"/>
      <name val="Arial"/>
    </font>
    <font>
      <sz val="12.0"/>
      <color theme="1"/>
      <name val="Tiro Bangla"/>
    </font>
    <font>
      <sz val="12.0"/>
      <color theme="1"/>
      <name val="Arial"/>
    </font>
    <font>
      <b/>
      <sz val="41.0"/>
      <color theme="1"/>
      <name val="Tiro Bangla"/>
    </font>
    <font>
      <b/>
      <sz val="12.0"/>
      <color theme="1"/>
      <name val="Tiro Bangla"/>
    </font>
    <font>
      <sz val="19.0"/>
      <color theme="1"/>
      <name val="Tiro Bangla"/>
    </font>
    <font/>
    <font>
      <sz val="18.0"/>
      <color theme="1"/>
      <name val="Tiro Bangla"/>
    </font>
    <font>
      <b/>
      <sz val="12.0"/>
      <color rgb="FF000000"/>
      <name val="Arial"/>
    </font>
    <font>
      <sz val="17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color theme="1"/>
      <name val="Arial"/>
      <scheme val="minor"/>
    </font>
    <font>
      <sz val="14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rgb="FF444444"/>
      <name val="Calibri"/>
    </font>
    <font>
      <sz val="20.0"/>
      <color rgb="FF0000FF"/>
      <name val="Tiro Bangla"/>
    </font>
    <font>
      <b/>
      <sz val="9.0"/>
      <color theme="1"/>
      <name val="Arial"/>
    </font>
    <font>
      <sz val="8.0"/>
      <color rgb="FF000000"/>
      <name val="Arial"/>
    </font>
    <font>
      <sz val="9.0"/>
      <color theme="1"/>
      <name val="Arial"/>
    </font>
    <font>
      <b/>
      <sz val="8.0"/>
      <color theme="1"/>
      <name val="Arial"/>
    </font>
    <font>
      <b/>
      <sz val="9.0"/>
      <color theme="1"/>
      <name val="Tiro Bangla"/>
    </font>
    <font>
      <b/>
      <color theme="1"/>
      <name val="Arial"/>
    </font>
    <font>
      <b/>
      <sz val="12.0"/>
      <color theme="1"/>
      <name val="Arial"/>
    </font>
    <font>
      <b/>
      <sz val="10.0"/>
      <color theme="1"/>
      <name val="Tiro Bangla"/>
    </font>
    <font>
      <sz val="26.0"/>
      <color theme="1"/>
      <name val="Arial"/>
    </font>
    <font>
      <b/>
      <sz val="19.0"/>
      <color theme="1"/>
      <name val="Tiro Bangla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sz val="13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C2E0F5"/>
        <bgColor rgb="FFC2E0F5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8" numFmtId="0" xfId="0" applyFont="1"/>
    <xf borderId="0" fillId="0" fontId="4" numFmtId="0" xfId="0" applyFont="1"/>
    <xf borderId="1" fillId="0" fontId="9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0" fillId="0" fontId="11" numFmtId="0" xfId="0" applyAlignment="1" applyFont="1">
      <alignment readingOrder="0" vertical="center"/>
    </xf>
    <xf borderId="0" fillId="0" fontId="12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10" numFmtId="0" xfId="0" applyBorder="1" applyFont="1"/>
    <xf borderId="2" fillId="0" fontId="8" numFmtId="0" xfId="0" applyAlignment="1" applyBorder="1" applyFont="1">
      <alignment horizontal="center" readingOrder="0" shrinkToFit="0" vertical="center" wrapText="1"/>
    </xf>
    <xf borderId="6" fillId="0" fontId="10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/>
    </xf>
    <xf borderId="7" fillId="0" fontId="4" numFmtId="165" xfId="0" applyAlignment="1" applyBorder="1" applyFont="1" applyNumberFormat="1">
      <alignment horizontal="center" shrinkToFit="0" vertical="center" wrapText="1"/>
    </xf>
    <xf borderId="0" fillId="0" fontId="15" numFmtId="0" xfId="0" applyFont="1"/>
    <xf borderId="0" fillId="0" fontId="16" numFmtId="0" xfId="0" applyFont="1"/>
    <xf borderId="0" fillId="0" fontId="14" numFmtId="0" xfId="0" applyAlignment="1" applyFont="1">
      <alignment horizontal="right" vertical="center"/>
    </xf>
    <xf borderId="5" fillId="0" fontId="14" numFmtId="0" xfId="0" applyBorder="1" applyFont="1"/>
    <xf borderId="5" fillId="0" fontId="14" numFmtId="0" xfId="0" applyAlignment="1" applyBorder="1" applyFont="1">
      <alignment horizontal="right"/>
    </xf>
    <xf borderId="6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5" fillId="0" fontId="17" numFmtId="1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5" fillId="0" fontId="14" numFmtId="166" xfId="0" applyAlignment="1" applyBorder="1" applyFont="1" applyNumberFormat="1">
      <alignment horizontal="left"/>
    </xf>
    <xf borderId="7" fillId="0" fontId="18" numFmtId="0" xfId="0" applyAlignment="1" applyBorder="1" applyFont="1">
      <alignment horizontal="center"/>
    </xf>
    <xf borderId="8" fillId="2" fontId="17" numFmtId="165" xfId="0" applyAlignment="1" applyBorder="1" applyFill="1" applyFont="1" applyNumberFormat="1">
      <alignment horizontal="center" readingOrder="0" vertical="center"/>
    </xf>
    <xf borderId="2" fillId="0" fontId="19" numFmtId="16" xfId="0" applyAlignment="1" applyBorder="1" applyFont="1" applyNumberFormat="1">
      <alignment horizontal="center" shrinkToFit="0" vertical="center" wrapText="1"/>
    </xf>
    <xf borderId="9" fillId="0" fontId="10" numFmtId="0" xfId="0" applyBorder="1" applyFont="1"/>
    <xf borderId="7" fillId="0" fontId="8" numFmtId="0" xfId="0" applyAlignment="1" applyBorder="1" applyFont="1">
      <alignment horizontal="left" readingOrder="0" shrinkToFit="0" vertical="center" wrapText="1"/>
    </xf>
    <xf borderId="1" fillId="0" fontId="19" numFmtId="16" xfId="0" applyAlignment="1" applyBorder="1" applyFont="1" applyNumberFormat="1">
      <alignment horizontal="center" shrinkToFit="0" vertical="center" wrapText="1"/>
    </xf>
    <xf borderId="7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0" fillId="3" fontId="20" numFmtId="0" xfId="0" applyAlignment="1" applyBorder="1" applyFill="1" applyFont="1">
      <alignment horizontal="center" readingOrder="0" vertical="center"/>
    </xf>
    <xf borderId="5" fillId="0" fontId="18" numFmtId="164" xfId="0" applyAlignment="1" applyBorder="1" applyFont="1" applyNumberFormat="1">
      <alignment horizontal="center"/>
    </xf>
    <xf borderId="7" fillId="3" fontId="20" numFmtId="0" xfId="0" applyAlignment="1" applyBorder="1" applyFill="1" applyFont="1">
      <alignment horizontal="center" readingOrder="0" vertical="center"/>
    </xf>
    <xf borderId="7" fillId="0" fontId="20" numFmtId="1" xfId="0" applyAlignment="1" applyBorder="1" applyFont="1" applyNumberFormat="1">
      <alignment horizontal="center" readingOrder="0" vertical="center"/>
    </xf>
    <xf borderId="7" fillId="4" fontId="21" numFmtId="2" xfId="0" applyAlignment="1" applyBorder="1" applyFill="1" applyFont="1" applyNumberFormat="1">
      <alignment horizontal="right" readingOrder="0" vertical="center"/>
    </xf>
    <xf borderId="5" fillId="0" fontId="22" numFmtId="1" xfId="0" applyAlignment="1" applyBorder="1" applyFont="1" applyNumberFormat="1">
      <alignment horizontal="center"/>
    </xf>
    <xf borderId="2" fillId="0" fontId="19" numFmtId="0" xfId="0" applyAlignment="1" applyBorder="1" applyFont="1">
      <alignment horizontal="center" shrinkToFit="0" vertical="center" wrapText="1"/>
    </xf>
    <xf borderId="5" fillId="0" fontId="22" numFmtId="1" xfId="0" applyAlignment="1" applyBorder="1" applyFont="1" applyNumberFormat="1">
      <alignment horizontal="center" shrinkToFit="0" vertical="center" wrapText="1"/>
    </xf>
    <xf borderId="0" fillId="0" fontId="22" numFmtId="1" xfId="0" applyAlignment="1" applyFont="1" applyNumberFormat="1">
      <alignment horizontal="center"/>
    </xf>
    <xf borderId="11" fillId="5" fontId="23" numFmtId="0" xfId="0" applyAlignment="1" applyBorder="1" applyFill="1" applyFont="1">
      <alignment horizontal="center" readingOrder="0" vertical="center"/>
    </xf>
    <xf borderId="7" fillId="0" fontId="20" numFmtId="167" xfId="0" applyAlignment="1" applyBorder="1" applyFont="1" applyNumberFormat="1">
      <alignment horizontal="center" readingOrder="0" vertical="center"/>
    </xf>
    <xf borderId="2" fillId="0" fontId="14" numFmtId="1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left" readingOrder="0" vertical="center"/>
    </xf>
    <xf borderId="4" fillId="0" fontId="20" numFmtId="0" xfId="0" applyAlignment="1" applyBorder="1" applyFont="1">
      <alignment horizontal="center" readingOrder="0" vertical="center"/>
    </xf>
    <xf borderId="2" fillId="0" fontId="19" numFmtId="1" xfId="0" applyAlignment="1" applyBorder="1" applyFont="1" applyNumberFormat="1">
      <alignment horizontal="center" vertical="center"/>
    </xf>
    <xf borderId="2" fillId="0" fontId="16" numFmtId="0" xfId="0" applyAlignment="1" applyBorder="1" applyFont="1">
      <alignment horizontal="center" readingOrder="0" shrinkToFit="0" vertical="center" wrapText="1"/>
    </xf>
    <xf borderId="2" fillId="0" fontId="19" numFmtId="1" xfId="0" applyAlignment="1" applyBorder="1" applyFont="1" applyNumberFormat="1">
      <alignment horizontal="left" vertical="center"/>
    </xf>
    <xf borderId="1" fillId="0" fontId="24" numFmtId="1" xfId="0" applyAlignment="1" applyBorder="1" applyFont="1" applyNumberFormat="1">
      <alignment horizontal="center" vertical="center"/>
    </xf>
    <xf borderId="7" fillId="0" fontId="24" numFmtId="168" xfId="0" applyAlignment="1" applyBorder="1" applyFont="1" applyNumberFormat="1">
      <alignment horizontal="center" readingOrder="0" shrinkToFit="0" vertical="center" wrapText="1"/>
    </xf>
    <xf borderId="2" fillId="0" fontId="19" numFmtId="1" xfId="0" applyAlignment="1" applyBorder="1" applyFont="1" applyNumberFormat="1">
      <alignment horizontal="center" shrinkToFit="0" vertical="center" wrapText="1"/>
    </xf>
    <xf borderId="7" fillId="2" fontId="25" numFmtId="165" xfId="0" applyAlignment="1" applyBorder="1" applyFill="1" applyFont="1" applyNumberFormat="1">
      <alignment horizontal="center" readingOrder="0" shrinkToFit="0" vertical="center" wrapText="1"/>
    </xf>
    <xf borderId="1" fillId="0" fontId="19" numFmtId="1" xfId="0" applyAlignment="1" applyBorder="1" applyFont="1" applyNumberFormat="1">
      <alignment horizontal="center" vertical="center"/>
    </xf>
    <xf borderId="7" fillId="0" fontId="26" numFmtId="169" xfId="0" applyAlignment="1" applyBorder="1" applyFont="1" applyNumberFormat="1">
      <alignment horizontal="center" shrinkToFit="0" vertical="center" wrapText="1"/>
    </xf>
    <xf borderId="1" fillId="0" fontId="27" numFmtId="1" xfId="0" applyAlignment="1" applyBorder="1" applyFont="1" applyNumberFormat="1">
      <alignment horizontal="center" shrinkToFit="0" vertical="center" wrapText="1"/>
    </xf>
    <xf borderId="1" fillId="0" fontId="19" numFmtId="1" xfId="0" applyAlignment="1" applyBorder="1" applyFont="1" applyNumberFormat="1">
      <alignment horizontal="center" shrinkToFit="0" vertical="center" wrapText="1"/>
    </xf>
    <xf borderId="12" fillId="0" fontId="20" numFmtId="0" xfId="0" applyAlignment="1" applyBorder="1" applyFont="1">
      <alignment horizontal="center" readingOrder="0" vertical="center"/>
    </xf>
    <xf borderId="7" fillId="0" fontId="19" numFmtId="16" xfId="0" applyAlignment="1" applyBorder="1" applyFont="1" applyNumberFormat="1">
      <alignment horizontal="center" shrinkToFit="0" vertical="center" wrapText="1"/>
    </xf>
    <xf borderId="13" fillId="0" fontId="19" numFmtId="1" xfId="0" applyAlignment="1" applyBorder="1" applyFont="1" applyNumberFormat="1">
      <alignment horizontal="center" readingOrder="0" shrinkToFit="0" vertical="center" wrapText="1"/>
    </xf>
    <xf borderId="14" fillId="0" fontId="10" numFmtId="0" xfId="0" applyBorder="1" applyFont="1"/>
    <xf borderId="7" fillId="4" fontId="21" numFmtId="0" xfId="0" applyAlignment="1" applyBorder="1" applyFill="1" applyFont="1">
      <alignment horizontal="right" readingOrder="0" vertical="center"/>
    </xf>
    <xf borderId="7" fillId="0" fontId="19" numFmtId="1" xfId="0" applyAlignment="1" applyBorder="1" applyFont="1" applyNumberFormat="1">
      <alignment horizontal="left" readingOrder="0" vertical="center"/>
    </xf>
    <xf borderId="7" fillId="6" fontId="19" numFmtId="0" xfId="0" applyAlignment="1" applyBorder="1" applyFill="1" applyFont="1">
      <alignment horizontal="right" readingOrder="0" shrinkToFit="0" vertical="center" wrapText="1"/>
    </xf>
    <xf borderId="2" fillId="7" fontId="19" numFmtId="1" xfId="0" applyAlignment="1" applyBorder="1" applyFill="1" applyFont="1" applyNumberFormat="1">
      <alignment horizontal="center" vertical="center"/>
    </xf>
    <xf borderId="0" fillId="0" fontId="19" numFmtId="1" xfId="0" applyAlignment="1" applyFont="1" applyNumberFormat="1">
      <alignment horizontal="center" vertical="center"/>
    </xf>
    <xf borderId="7" fillId="4" fontId="21" numFmtId="1" xfId="0" applyAlignment="1" applyBorder="1" applyFill="1" applyFont="1" applyNumberFormat="1">
      <alignment horizontal="right" readingOrder="0" vertical="center"/>
    </xf>
    <xf borderId="7" fillId="0" fontId="24" numFmtId="1" xfId="0" applyAlignment="1" applyBorder="1" applyFont="1" applyNumberFormat="1">
      <alignment horizontal="center" vertical="center"/>
    </xf>
    <xf borderId="7" fillId="0" fontId="24" numFmtId="1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5" fillId="0" fontId="10" numFmtId="0" xfId="0" applyBorder="1" applyFont="1"/>
    <xf borderId="7" fillId="2" fontId="19" numFmtId="0" xfId="0" applyAlignment="1" applyBorder="1" applyFill="1" applyFont="1">
      <alignment horizontal="right" shrinkToFit="0" vertical="center" wrapText="1"/>
    </xf>
    <xf borderId="7" fillId="2" fontId="18" numFmtId="0" xfId="0" applyAlignment="1" applyBorder="1" applyFill="1" applyFont="1">
      <alignment horizontal="center"/>
    </xf>
    <xf borderId="7" fillId="0" fontId="14" numFmtId="1" xfId="0" applyAlignment="1" applyBorder="1" applyFont="1" applyNumberFormat="1">
      <alignment horizontal="center"/>
    </xf>
    <xf borderId="7" fillId="0" fontId="19" numFmtId="0" xfId="0" applyAlignment="1" applyBorder="1" applyFont="1">
      <alignment horizontal="right" shrinkToFit="0" vertical="center" wrapText="1"/>
    </xf>
    <xf borderId="7" fillId="4" fontId="21" numFmtId="167" xfId="0" applyAlignment="1" applyBorder="1" applyFill="1" applyFont="1" applyNumberFormat="1">
      <alignment horizontal="right" readingOrder="0" vertical="center"/>
    </xf>
    <xf borderId="7" fillId="0" fontId="19" numFmtId="165" xfId="0" applyAlignment="1" applyBorder="1" applyFont="1" applyNumberFormat="1">
      <alignment horizontal="left" vertical="center"/>
    </xf>
    <xf borderId="7" fillId="0" fontId="19" numFmtId="1" xfId="0" applyAlignment="1" applyBorder="1" applyFont="1" applyNumberFormat="1">
      <alignment horizontal="left" vertical="center"/>
    </xf>
    <xf borderId="7" fillId="0" fontId="14" numFmtId="1" xfId="0" applyAlignment="1" applyBorder="1" applyFont="1" applyNumberFormat="1">
      <alignment horizontal="center" shrinkToFit="0" vertical="center" wrapText="1"/>
    </xf>
    <xf borderId="1" fillId="5" fontId="23" numFmtId="0" xfId="0" applyAlignment="1" applyBorder="1" applyFill="1" applyFont="1">
      <alignment horizontal="center" readingOrder="0" vertical="center"/>
    </xf>
    <xf borderId="7" fillId="0" fontId="14" numFmtId="1" xfId="0" applyAlignment="1" applyBorder="1" applyFont="1" applyNumberFormat="1">
      <alignment horizontal="center" readingOrder="0" shrinkToFit="0" vertical="center" wrapText="1"/>
    </xf>
    <xf borderId="3" fillId="5" fontId="23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7" fillId="8" fontId="14" numFmtId="1" xfId="0" applyAlignment="1" applyBorder="1" applyFill="1" applyFont="1" applyNumberFormat="1">
      <alignment horizontal="center" readingOrder="0" shrinkToFit="0" vertical="center" wrapText="1"/>
    </xf>
    <xf borderId="7" fillId="7" fontId="14" numFmtId="1" xfId="0" applyAlignment="1" applyBorder="1" applyFill="1" applyFont="1" applyNumberFormat="1">
      <alignment horizontal="center" readingOrder="0" shrinkToFit="0" vertical="center" wrapText="1"/>
    </xf>
    <xf borderId="0" fillId="0" fontId="14" numFmtId="1" xfId="0" applyAlignment="1" applyFont="1" applyNumberFormat="1">
      <alignment horizontal="center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readingOrder="0" shrinkToFit="0" vertical="center" wrapText="1"/>
    </xf>
    <xf borderId="7" fillId="2" fontId="19" numFmtId="1" xfId="0" applyAlignment="1" applyBorder="1" applyFill="1" applyFont="1" applyNumberFormat="1">
      <alignment horizontal="right" shrinkToFit="0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7" fillId="9" fontId="19" numFmtId="0" xfId="0" applyAlignment="1" applyBorder="1" applyFill="1" applyFont="1">
      <alignment horizontal="right" readingOrder="0" shrinkToFit="0" vertical="center" wrapText="1"/>
    </xf>
    <xf borderId="0" fillId="0" fontId="16" numFmtId="1" xfId="0" applyAlignment="1" applyFont="1" applyNumberFormat="1">
      <alignment readingOrder="0"/>
    </xf>
    <xf borderId="7" fillId="0" fontId="16" numFmtId="1" xfId="0" applyAlignment="1" applyBorder="1" applyFont="1" applyNumberFormat="1">
      <alignment readingOrder="0"/>
    </xf>
    <xf borderId="1" fillId="0" fontId="14" numFmtId="1" xfId="0" applyAlignment="1" applyBorder="1" applyFont="1" applyNumberFormat="1">
      <alignment horizontal="center" shrinkToFit="0" vertical="center" wrapText="1"/>
    </xf>
    <xf borderId="7" fillId="2" fontId="19" numFmtId="0" xfId="0" applyAlignment="1" applyBorder="1" applyFill="1" applyFont="1">
      <alignment horizontal="center" shrinkToFit="0" vertical="center" wrapText="1"/>
    </xf>
    <xf borderId="7" fillId="2" fontId="19" numFmtId="1" xfId="0" applyAlignment="1" applyBorder="1" applyFill="1" applyFont="1" applyNumberFormat="1">
      <alignment horizontal="center" shrinkToFit="0" vertical="center" wrapText="1"/>
    </xf>
    <xf borderId="7" fillId="0" fontId="29" numFmtId="1" xfId="0" applyAlignment="1" applyBorder="1" applyFont="1" applyNumberFormat="1">
      <alignment horizontal="left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7" fillId="0" fontId="4" numFmtId="1" xfId="0" applyAlignment="1" applyBorder="1" applyFont="1" applyNumberFormat="1">
      <alignment readingOrder="0"/>
    </xf>
    <xf borderId="0" fillId="0" fontId="4" numFmtId="0" xfId="0" applyAlignment="1" applyFont="1">
      <alignment horizontal="center" shrinkToFit="0" wrapText="1"/>
    </xf>
    <xf borderId="7" fillId="0" fontId="4" numFmtId="1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bottom"/>
    </xf>
    <xf borderId="7" fillId="6" fontId="19" numFmtId="0" xfId="0" applyAlignment="1" applyBorder="1" applyFill="1" applyFont="1">
      <alignment horizontal="right" shrinkToFit="0" vertical="center" wrapText="1"/>
    </xf>
    <xf borderId="1" fillId="2" fontId="19" numFmtId="1" xfId="0" applyAlignment="1" applyBorder="1" applyFill="1" applyFont="1" applyNumberFormat="1">
      <alignment horizontal="center"/>
    </xf>
    <xf borderId="7" fillId="2" fontId="14" numFmtId="1" xfId="0" applyAlignment="1" applyBorder="1" applyFill="1" applyFont="1" applyNumberFormat="1">
      <alignment horizontal="center" shrinkToFit="0" vertical="center" wrapText="1"/>
    </xf>
    <xf borderId="5" fillId="0" fontId="4" numFmtId="0" xfId="0" applyAlignment="1" applyBorder="1" applyFont="1">
      <alignment vertical="bottom"/>
    </xf>
    <xf borderId="0" fillId="0" fontId="5" numFmtId="0" xfId="0" applyFont="1"/>
    <xf borderId="7" fillId="0" fontId="21" numFmtId="0" xfId="0" applyAlignment="1" applyBorder="1" applyFont="1">
      <alignment horizontal="center" readingOrder="0" vertical="center"/>
    </xf>
    <xf borderId="7" fillId="0" fontId="30" numFmtId="9" xfId="0" applyAlignment="1" applyBorder="1" applyFont="1" applyNumberFormat="1">
      <alignment horizontal="right" shrinkToFit="0" vertical="center" wrapText="1"/>
    </xf>
    <xf borderId="1" fillId="0" fontId="21" numFmtId="0" xfId="0" applyAlignment="1" applyBorder="1" applyFont="1">
      <alignment horizontal="center" readingOrder="0" vertical="center"/>
    </xf>
    <xf borderId="7" fillId="0" fontId="30" numFmtId="0" xfId="0" applyAlignment="1" applyBorder="1" applyFont="1">
      <alignment horizontal="right" readingOrder="0" vertical="center"/>
    </xf>
    <xf borderId="7" fillId="0" fontId="29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right" vertical="center"/>
    </xf>
    <xf borderId="7" fillId="0" fontId="31" numFmtId="0" xfId="0" applyAlignment="1" applyBorder="1" applyFont="1">
      <alignment horizontal="left" readingOrder="0" shrinkToFit="0" vertical="center" wrapText="1"/>
    </xf>
    <xf borderId="7" fillId="0" fontId="21" numFmtId="0" xfId="0" applyAlignment="1" applyBorder="1" applyFont="1">
      <alignment horizontal="right" readingOrder="0" vertical="center"/>
    </xf>
    <xf borderId="7" fillId="4" fontId="21" numFmtId="10" xfId="0" applyAlignment="1" applyBorder="1" applyFill="1" applyFont="1" applyNumberFormat="1">
      <alignment horizontal="right" readingOrder="0" vertical="center"/>
    </xf>
    <xf borderId="16" fillId="2" fontId="17" numFmtId="165" xfId="0" applyAlignment="1" applyBorder="1" applyFill="1" applyFont="1" applyNumberFormat="1">
      <alignment horizontal="center" readingOrder="0" vertical="center"/>
    </xf>
    <xf borderId="7" fillId="0" fontId="21" numFmtId="10" xfId="0" applyAlignment="1" applyBorder="1" applyFont="1" applyNumberFormat="1">
      <alignment horizontal="right" readingOrder="0" vertical="center"/>
    </xf>
    <xf borderId="7" fillId="0" fontId="20" numFmtId="0" xfId="0" applyAlignment="1" applyBorder="1" applyFont="1">
      <alignment horizontal="right" readingOrder="0" vertical="center"/>
    </xf>
    <xf borderId="6" fillId="0" fontId="4" numFmtId="0" xfId="0" applyAlignment="1" applyBorder="1" applyFont="1">
      <alignment horizontal="center" shrinkToFit="0" wrapText="1"/>
    </xf>
    <xf borderId="7" fillId="0" fontId="31" numFmtId="0" xfId="0" applyAlignment="1" applyBorder="1" applyFont="1">
      <alignment horizontal="left" readingOrder="0" vertical="center"/>
    </xf>
    <xf borderId="15" fillId="0" fontId="4" numFmtId="0" xfId="0" applyAlignment="1" applyBorder="1" applyFont="1">
      <alignment shrinkToFit="0" wrapText="1"/>
    </xf>
    <xf borderId="15" fillId="0" fontId="4" numFmtId="0" xfId="0" applyBorder="1" applyFont="1"/>
    <xf borderId="15" fillId="2" fontId="4" numFmtId="0" xfId="0" applyAlignment="1" applyBorder="1" applyFill="1" applyFont="1">
      <alignment vertical="bottom"/>
    </xf>
    <xf borderId="7" fillId="0" fontId="30" numFmtId="0" xfId="0" applyAlignment="1" applyBorder="1" applyFont="1">
      <alignment horizontal="right" vertical="center"/>
    </xf>
    <xf borderId="11" fillId="0" fontId="4" numFmtId="0" xfId="0" applyAlignment="1" applyBorder="1" applyFont="1">
      <alignment horizontal="center" shrinkToFit="0" wrapText="1"/>
    </xf>
    <xf borderId="1" fillId="4" fontId="21" numFmtId="0" xfId="0" applyAlignment="1" applyBorder="1" applyFill="1" applyFont="1">
      <alignment horizontal="right" readingOrder="0" vertical="center"/>
    </xf>
    <xf borderId="15" fillId="0" fontId="4" numFmtId="0" xfId="0" applyAlignment="1" applyBorder="1" applyFont="1">
      <alignment horizontal="center" shrinkToFit="0" wrapText="1"/>
    </xf>
    <xf borderId="7" fillId="0" fontId="14" numFmtId="1" xfId="0" applyAlignment="1" applyBorder="1" applyFont="1" applyNumberFormat="1">
      <alignment horizontal="left" vertical="center"/>
    </xf>
    <xf borderId="5" fillId="5" fontId="23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0" xfId="0" applyFont="1"/>
    <xf borderId="2" fillId="0" fontId="8" numFmtId="0" xfId="0" applyAlignment="1" applyBorder="1" applyFont="1">
      <alignment horizontal="center" readingOrder="0" vertical="center"/>
    </xf>
    <xf borderId="1" fillId="0" fontId="4" numFmtId="1" xfId="0" applyBorder="1" applyFont="1" applyNumberFormat="1"/>
    <xf borderId="2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right" readingOrder="0" vertical="center"/>
    </xf>
    <xf borderId="7" fillId="0" fontId="21" numFmtId="0" xfId="0" applyAlignment="1" applyBorder="1" applyFont="1">
      <alignment horizontal="right" readingOrder="0" shrinkToFit="0" vertical="center" wrapText="1"/>
    </xf>
    <xf borderId="7" fillId="4" fontId="21" numFmtId="0" xfId="0" applyAlignment="1" applyBorder="1" applyFill="1" applyFont="1">
      <alignment horizontal="right" vertical="center"/>
    </xf>
    <xf borderId="13" fillId="0" fontId="19" numFmtId="1" xfId="0" applyAlignment="1" applyBorder="1" applyFont="1" applyNumberFormat="1">
      <alignment horizontal="center" shrinkToFit="0" vertical="center" wrapText="1"/>
    </xf>
    <xf borderId="7" fillId="0" fontId="29" numFmtId="1" xfId="0" applyAlignment="1" applyBorder="1" applyFont="1" applyNumberFormat="1">
      <alignment horizontal="left" readingOrder="0" shrinkToFit="0" vertical="center" wrapText="1"/>
    </xf>
    <xf borderId="7" fillId="0" fontId="19" numFmtId="1" xfId="0" applyAlignment="1" applyBorder="1" applyFont="1" applyNumberFormat="1">
      <alignment horizontal="right" shrinkToFit="0" vertical="center" wrapText="1"/>
    </xf>
    <xf borderId="13" fillId="7" fontId="19" numFmtId="1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right" readingOrder="0" vertical="center"/>
    </xf>
    <xf borderId="7" fillId="0" fontId="18" numFmtId="0" xfId="0" applyAlignment="1" applyBorder="1" applyFont="1">
      <alignment horizontal="left" vertical="center"/>
    </xf>
    <xf borderId="7" fillId="0" fontId="24" numFmtId="0" xfId="0" applyAlignment="1" applyBorder="1" applyFont="1">
      <alignment horizontal="right" shrinkToFit="0" vertical="center" wrapText="1"/>
    </xf>
    <xf borderId="7" fillId="0" fontId="18" numFmtId="9" xfId="0" applyAlignment="1" applyBorder="1" applyFont="1" applyNumberFormat="1">
      <alignment horizontal="right" shrinkToFit="0" vertical="center" wrapText="1"/>
    </xf>
    <xf borderId="7" fillId="0" fontId="6" numFmtId="0" xfId="0" applyAlignment="1" applyBorder="1" applyFont="1">
      <alignment horizontal="right" vertical="center"/>
    </xf>
    <xf borderId="0" fillId="0" fontId="19" numFmtId="1" xfId="0" applyAlignment="1" applyFont="1" applyNumberFormat="1">
      <alignment horizontal="center" shrinkToFit="0" vertical="center" wrapText="1"/>
    </xf>
    <xf borderId="7" fillId="0" fontId="19" numFmtId="165" xfId="0" applyAlignment="1" applyBorder="1" applyFont="1" applyNumberFormat="1">
      <alignment horizontal="center" shrinkToFit="0" vertical="center" wrapText="1"/>
    </xf>
    <xf borderId="4" fillId="0" fontId="14" numFmtId="1" xfId="0" applyAlignment="1" applyBorder="1" applyFont="1" applyNumberFormat="1">
      <alignment horizontal="center" shrinkToFit="0" vertical="center" wrapText="1"/>
    </xf>
    <xf borderId="1" fillId="2" fontId="19" numFmtId="1" xfId="0" applyAlignment="1" applyBorder="1" applyFill="1" applyFont="1" applyNumberForma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5" fillId="0" fontId="17" numFmtId="14" xfId="0" applyAlignment="1" applyBorder="1" applyFont="1" applyNumberFormat="1">
      <alignment horizontal="center" vertical="center"/>
    </xf>
    <xf borderId="8" fillId="2" fontId="17" numFmtId="0" xfId="0" applyAlignment="1" applyBorder="1" applyFill="1" applyFont="1">
      <alignment horizontal="center" vertical="center"/>
    </xf>
    <xf borderId="5" fillId="0" fontId="22" numFmtId="0" xfId="0" applyAlignment="1" applyBorder="1" applyFont="1">
      <alignment horizontal="center"/>
    </xf>
    <xf borderId="2" fillId="0" fontId="14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7" fillId="0" fontId="24" numFmtId="0" xfId="0" applyAlignment="1" applyBorder="1" applyFon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/>
    </xf>
    <xf borderId="7" fillId="0" fontId="19" numFmtId="0" xfId="0" applyAlignment="1" applyBorder="1" applyFont="1">
      <alignment horizontal="left"/>
    </xf>
    <xf borderId="7" fillId="0" fontId="14" numFmtId="9" xfId="0" applyAlignment="1" applyBorder="1" applyFont="1" applyNumberFormat="1">
      <alignment horizontal="center"/>
    </xf>
    <xf borderId="7" fillId="0" fontId="19" numFmtId="0" xfId="0" applyAlignment="1" applyBorder="1" applyFont="1">
      <alignment horizontal="left" vertical="center"/>
    </xf>
    <xf borderId="2" fillId="0" fontId="19" numFmtId="0" xfId="0" applyAlignment="1" applyBorder="1" applyFont="1">
      <alignment horizontal="left"/>
    </xf>
    <xf borderId="7" fillId="0" fontId="4" numFmtId="1" xfId="0" applyBorder="1" applyFont="1" applyNumberFormat="1"/>
    <xf borderId="2" fillId="0" fontId="14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right" vertical="bottom"/>
    </xf>
    <xf borderId="0" fillId="0" fontId="16" numFmtId="1" xfId="0" applyFont="1" applyNumberFormat="1"/>
    <xf borderId="0" fillId="0" fontId="8" numFmtId="0" xfId="0" applyAlignment="1" applyFont="1">
      <alignment vertical="center"/>
    </xf>
    <xf borderId="1" fillId="0" fontId="5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7" fillId="0" fontId="5" numFmtId="1" xfId="0" applyAlignment="1" applyBorder="1" applyFont="1" applyNumberFormat="1">
      <alignment horizontal="center" vertical="center"/>
    </xf>
    <xf borderId="7" fillId="0" fontId="5" numFmtId="9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vertical="center"/>
    </xf>
    <xf borderId="7" fillId="0" fontId="8" numFmtId="0" xfId="0" applyAlignment="1" applyBorder="1" applyFont="1">
      <alignment horizontal="right" vertical="center"/>
    </xf>
    <xf borderId="4" fillId="0" fontId="8" numFmtId="0" xfId="0" applyAlignment="1" applyBorder="1" applyFont="1">
      <alignment horizontal="center" vertical="center"/>
    </xf>
    <xf borderId="7" fillId="0" fontId="8" numFmtId="1" xfId="0" applyAlignment="1" applyBorder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2" fillId="0" fontId="8" numFmtId="1" xfId="0" applyAlignment="1" applyBorder="1" applyFont="1" applyNumberFormat="1">
      <alignment horizontal="center" vertical="center"/>
    </xf>
    <xf borderId="0" fillId="0" fontId="33" numFmtId="0" xfId="0" applyAlignment="1" applyFont="1">
      <alignment horizontal="center" readingOrder="0" vertical="center"/>
    </xf>
    <xf borderId="0" fillId="0" fontId="21" numFmtId="0" xfId="0" applyAlignment="1" applyFont="1">
      <alignment horizontal="center"/>
    </xf>
    <xf borderId="0" fillId="0" fontId="20" numFmtId="0" xfId="0" applyFont="1"/>
    <xf borderId="0" fillId="7" fontId="20" numFmtId="0" xfId="0" applyAlignment="1" applyFill="1" applyFont="1">
      <alignment horizontal="right"/>
    </xf>
    <xf borderId="0" fillId="7" fontId="20" numFmtId="0" xfId="0" applyFill="1" applyFont="1"/>
    <xf borderId="0" fillId="7" fontId="20" numFmtId="170" xfId="0" applyFill="1" applyFont="1" applyNumberFormat="1"/>
    <xf borderId="1" fillId="2" fontId="30" numFmtId="1" xfId="0" applyAlignment="1" applyBorder="1" applyFill="1" applyFont="1" applyNumberFormat="1">
      <alignment horizontal="center"/>
    </xf>
    <xf borderId="0" fillId="7" fontId="20" numFmtId="0" xfId="0" applyAlignment="1" applyFill="1" applyFont="1">
      <alignment horizontal="center"/>
    </xf>
    <xf borderId="17" fillId="4" fontId="20" numFmtId="0" xfId="0" applyAlignment="1" applyBorder="1" applyFill="1" applyFont="1">
      <alignment horizontal="center" vertical="center"/>
    </xf>
    <xf borderId="17" fillId="4" fontId="20" numFmtId="0" xfId="0" applyAlignment="1" applyBorder="1" applyFill="1" applyFont="1">
      <alignment horizontal="center" readingOrder="0" shrinkToFit="0" vertical="center" wrapText="1"/>
    </xf>
    <xf borderId="17" fillId="4" fontId="20" numFmtId="171" xfId="0" applyAlignment="1" applyBorder="1" applyFill="1" applyFont="1" applyNumberFormat="1">
      <alignment horizontal="center" readingOrder="0" vertical="center"/>
    </xf>
    <xf borderId="17" fillId="4" fontId="20" numFmtId="170" xfId="0" applyAlignment="1" applyBorder="1" applyFill="1" applyFont="1" applyNumberFormat="1">
      <alignment horizontal="center" readingOrder="0" vertical="center"/>
    </xf>
    <xf borderId="17" fillId="4" fontId="20" numFmtId="0" xfId="0" applyAlignment="1" applyBorder="1" applyFill="1" applyFont="1">
      <alignment horizontal="center" shrinkToFit="0" vertical="center" wrapText="1"/>
    </xf>
    <xf borderId="6" fillId="10" fontId="20" numFmtId="0" xfId="0" applyAlignment="1" applyBorder="1" applyFill="1" applyFont="1">
      <alignment vertical="center"/>
    </xf>
    <xf borderId="6" fillId="0" fontId="20" numFmtId="0" xfId="0" applyAlignment="1" applyBorder="1" applyFont="1">
      <alignment vertical="center"/>
    </xf>
    <xf borderId="7" fillId="10" fontId="20" numFmtId="0" xfId="0" applyAlignment="1" applyBorder="1" applyFill="1" applyFont="1">
      <alignment vertical="center"/>
    </xf>
    <xf borderId="7" fillId="0" fontId="20" numFmtId="0" xfId="0" applyAlignment="1" applyBorder="1" applyFont="1">
      <alignment vertical="center"/>
    </xf>
    <xf borderId="7" fillId="0" fontId="20" numFmtId="172" xfId="0" applyAlignment="1" applyBorder="1" applyFont="1" applyNumberFormat="1">
      <alignment vertical="center"/>
    </xf>
    <xf borderId="6" fillId="0" fontId="20" numFmtId="172" xfId="0" applyAlignment="1" applyBorder="1" applyFont="1" applyNumberFormat="1">
      <alignment vertical="center"/>
    </xf>
    <xf borderId="1" fillId="7" fontId="14" numFmtId="1" xfId="0" applyAlignment="1" applyBorder="1" applyFill="1" applyFont="1" applyNumberFormat="1">
      <alignment horizontal="center" shrinkToFit="0" vertical="center" wrapText="1"/>
    </xf>
    <xf borderId="7" fillId="0" fontId="29" numFmtId="0" xfId="0" applyAlignment="1" applyBorder="1" applyFont="1">
      <alignment horizontal="right" readingOrder="0" shrinkToFit="0" wrapText="1"/>
    </xf>
    <xf borderId="7" fillId="0" fontId="29" numFmtId="0" xfId="0" applyAlignment="1" applyBorder="1" applyFont="1">
      <alignment horizontal="right" shrinkToFit="0" wrapText="1"/>
    </xf>
    <xf borderId="2" fillId="0" fontId="19" numFmtId="1" xfId="0" applyAlignment="1" applyBorder="1" applyFont="1" applyNumberFormat="1">
      <alignment horizontal="center" readingOrder="0" shrinkToFit="0" vertical="center" wrapText="1"/>
    </xf>
    <xf borderId="7" fillId="0" fontId="5" numFmtId="0" xfId="0" applyBorder="1" applyFont="1"/>
    <xf borderId="0" fillId="0" fontId="21" numFmtId="0" xfId="0" applyAlignment="1" applyFont="1">
      <alignment horizontal="center" vertical="center"/>
    </xf>
    <xf borderId="0" fillId="0" fontId="34" numFmtId="0" xfId="0" applyFont="1"/>
    <xf borderId="0" fillId="0" fontId="8" numFmtId="0" xfId="0" applyAlignment="1" applyFont="1">
      <alignment horizontal="right" vertical="center"/>
    </xf>
    <xf borderId="7" fillId="0" fontId="14" numFmtId="1" xfId="0" applyAlignment="1" applyBorder="1" applyFont="1" applyNumberFormat="1">
      <alignment horizontal="right"/>
    </xf>
    <xf borderId="7" fillId="0" fontId="19" numFmtId="165" xfId="0" applyAlignment="1" applyBorder="1" applyFont="1" applyNumberFormat="1">
      <alignment horizontal="right" vertical="center"/>
    </xf>
    <xf borderId="1" fillId="2" fontId="19" numFmtId="1" xfId="0" applyAlignment="1" applyBorder="1" applyFill="1" applyFont="1" applyNumberFormat="1">
      <alignment horizontal="right"/>
    </xf>
    <xf borderId="7" fillId="2" fontId="14" numFmtId="1" xfId="0" applyAlignment="1" applyBorder="1" applyFill="1" applyFont="1" applyNumberFormat="1">
      <alignment horizontal="center" readingOrder="0" shrinkToFit="0" vertical="center" wrapText="1"/>
    </xf>
    <xf borderId="1" fillId="2" fontId="14" numFmtId="1" xfId="0" applyAlignment="1" applyBorder="1" applyFill="1" applyFont="1" applyNumberFormat="1">
      <alignment horizontal="center" shrinkToFit="0" vertical="center" wrapText="1"/>
    </xf>
    <xf borderId="7" fillId="0" fontId="4" numFmtId="1" xfId="0" applyAlignment="1" applyBorder="1" applyFont="1" applyNumberFormat="1">
      <alignment horizontal="center" readingOrder="0" shrinkToFit="0" vertical="center" wrapText="1"/>
    </xf>
    <xf borderId="2" fillId="7" fontId="19" numFmtId="1" xfId="0" applyAlignment="1" applyBorder="1" applyFill="1" applyFont="1" applyNumberFormat="1">
      <alignment horizontal="center" readingOrder="0" vertical="center"/>
    </xf>
    <xf borderId="0" fillId="0" fontId="14" numFmtId="1" xfId="0" applyAlignment="1" applyFont="1" applyNumberFormat="1">
      <alignment horizontal="center"/>
    </xf>
    <xf borderId="0" fillId="0" fontId="4" numFmtId="1" xfId="0" applyAlignment="1" applyFont="1" applyNumberFormat="1">
      <alignment horizontal="left"/>
    </xf>
    <xf borderId="0" fillId="0" fontId="4" numFmtId="1" xfId="0" applyAlignment="1" applyFont="1" applyNumberFormat="1">
      <alignment horizontal="left" vertical="center"/>
    </xf>
    <xf borderId="0" fillId="0" fontId="4" numFmtId="1" xfId="0" applyFont="1" applyNumberFormat="1"/>
    <xf borderId="0" fillId="0" fontId="4" numFmtId="1" xfId="0" applyAlignment="1" applyFont="1" applyNumberFormat="1">
      <alignment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7" fillId="0" fontId="35" numFmtId="0" xfId="0" applyAlignment="1" applyBorder="1" applyFont="1">
      <alignment horizontal="center" readingOrder="0" shrinkToFit="0" vertical="center" wrapText="1"/>
    </xf>
    <xf borderId="7" fillId="0" fontId="3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0</xdr:row>
      <xdr:rowOff>123825</xdr:rowOff>
    </xdr:from>
    <xdr:ext cx="876300" cy="6381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0</xdr:row>
      <xdr:rowOff>85725</xdr:rowOff>
    </xdr:from>
    <xdr:ext cx="552450" cy="571500"/>
    <xdr:pic>
      <xdr:nvPicPr>
        <xdr:cNvPr descr="BKF MonoGram Frash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43</xdr:row>
      <xdr:rowOff>85725</xdr:rowOff>
    </xdr:from>
    <xdr:ext cx="552450" cy="571500"/>
    <xdr:pic>
      <xdr:nvPicPr>
        <xdr:cNvPr descr="BKF MonoGram Frash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hidden="1" min="1" max="1" width="3.63"/>
    <col customWidth="1" hidden="1" min="2" max="2" width="10.88"/>
    <col customWidth="1" min="3" max="3" width="8.63"/>
    <col customWidth="1" hidden="1" min="4" max="4" width="6.75"/>
    <col customWidth="1" hidden="1" min="5" max="5" width="6.5"/>
    <col customWidth="1" min="6" max="6" width="7.63"/>
    <col customWidth="1" hidden="1" min="7" max="7" width="6.0"/>
    <col customWidth="1" hidden="1" min="8" max="8" width="6.5"/>
    <col customWidth="1" min="9" max="9" width="8.88"/>
    <col customWidth="1" hidden="1" min="10" max="10" width="9.0"/>
    <col customWidth="1" hidden="1" min="11" max="11" width="7.38"/>
    <col customWidth="1" min="12" max="12" width="8.38"/>
    <col customWidth="1" hidden="1" min="13" max="14" width="7.25"/>
    <col customWidth="1" hidden="1" min="15" max="15" width="9.13"/>
    <col customWidth="1" hidden="1" min="16" max="16" width="6.63"/>
    <col customWidth="1" hidden="1" min="17" max="17" width="8.5"/>
    <col customWidth="1" hidden="1" min="18" max="18" width="7.63"/>
    <col customWidth="1" hidden="1" min="19" max="19" width="11.13"/>
    <col customWidth="1" min="20" max="20" width="11.13"/>
    <col customWidth="1" hidden="1" min="21" max="21" width="6.5"/>
    <col customWidth="1" hidden="1" min="22" max="22" width="6.0"/>
    <col customWidth="1" min="23" max="23" width="9.63"/>
    <col customWidth="1" hidden="1" min="24" max="24" width="6.5"/>
    <col customWidth="1" min="25" max="25" width="9.75"/>
    <col customWidth="1" min="26" max="27" width="10.75"/>
    <col customWidth="1" min="28" max="28" width="8.5"/>
    <col customWidth="1" min="29" max="29" width="7.0"/>
    <col customWidth="1" min="30" max="30" width="8.38"/>
    <col customWidth="1" hidden="1" min="31" max="31" width="7.75"/>
    <col customWidth="1" min="32" max="32" width="7.75"/>
    <col customWidth="1" hidden="1" min="33" max="53" width="7.75"/>
  </cols>
  <sheetData>
    <row r="1" hidden="1">
      <c r="A1" s="38"/>
      <c r="B1" s="38"/>
      <c r="C1" s="38" t="s">
        <v>50</v>
      </c>
      <c r="F1" s="42">
        <v>46266.0</v>
      </c>
      <c r="G1" s="44"/>
      <c r="H1" s="44"/>
      <c r="I1" s="44"/>
      <c r="K1" s="50">
        <f>F1</f>
        <v>46266</v>
      </c>
      <c r="L1" s="23"/>
      <c r="M1" s="23"/>
      <c r="N1" s="23"/>
      <c r="O1" s="23"/>
      <c r="P1" s="23"/>
      <c r="Q1" s="23"/>
      <c r="R1" s="23"/>
      <c r="S1" s="23"/>
      <c r="T1" s="23"/>
      <c r="W1" s="54"/>
      <c r="X1" s="54"/>
      <c r="Y1" s="54"/>
      <c r="Z1" s="54"/>
      <c r="AA1" s="56"/>
      <c r="AB1" s="54"/>
      <c r="AC1" s="54"/>
      <c r="AD1" s="54"/>
      <c r="AE1" s="57"/>
      <c r="AF1" s="58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</row>
    <row r="2" ht="30.75" hidden="1" customHeight="1">
      <c r="A2" s="60" t="s">
        <v>74</v>
      </c>
      <c r="B2" s="63" t="s">
        <v>78</v>
      </c>
      <c r="C2" s="65" t="s">
        <v>53</v>
      </c>
      <c r="D2" s="66" t="s">
        <v>58</v>
      </c>
      <c r="E2" s="15"/>
      <c r="F2" s="68" t="s">
        <v>81</v>
      </c>
      <c r="G2" s="70" t="s">
        <v>82</v>
      </c>
      <c r="H2" s="15"/>
      <c r="I2" s="68" t="s">
        <v>84</v>
      </c>
      <c r="J2" s="68" t="s">
        <v>85</v>
      </c>
      <c r="K2" s="68" t="s">
        <v>86</v>
      </c>
      <c r="L2" s="68" t="s">
        <v>66</v>
      </c>
      <c r="M2" s="68" t="s">
        <v>88</v>
      </c>
      <c r="N2" s="68" t="s">
        <v>89</v>
      </c>
      <c r="O2" s="72" t="s">
        <v>90</v>
      </c>
      <c r="P2" s="15"/>
      <c r="Q2" s="68" t="s">
        <v>92</v>
      </c>
      <c r="R2" s="68" t="s">
        <v>93</v>
      </c>
      <c r="S2" s="73" t="s">
        <v>94</v>
      </c>
      <c r="T2" s="15"/>
      <c r="U2" s="70" t="s">
        <v>95</v>
      </c>
      <c r="V2" s="15"/>
      <c r="W2" s="76" t="s">
        <v>97</v>
      </c>
      <c r="X2" s="77"/>
      <c r="Y2" s="68" t="s">
        <v>102</v>
      </c>
      <c r="Z2" s="68" t="s">
        <v>103</v>
      </c>
      <c r="AA2" s="68" t="s">
        <v>104</v>
      </c>
      <c r="AB2" s="68" t="s">
        <v>106</v>
      </c>
      <c r="AC2" s="68" t="s">
        <v>107</v>
      </c>
      <c r="AD2" s="81" t="s">
        <v>108</v>
      </c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</row>
    <row r="3" ht="24.0" hidden="1" customHeight="1">
      <c r="A3" s="25"/>
      <c r="B3" s="25"/>
      <c r="C3" s="25"/>
      <c r="D3" s="84" t="s">
        <v>109</v>
      </c>
      <c r="E3" s="84" t="s">
        <v>110</v>
      </c>
      <c r="F3" s="25"/>
      <c r="G3" s="84" t="s">
        <v>109</v>
      </c>
      <c r="H3" s="84" t="s">
        <v>110</v>
      </c>
      <c r="I3" s="25"/>
      <c r="J3" s="25"/>
      <c r="K3" s="25"/>
      <c r="L3" s="25"/>
      <c r="M3" s="25"/>
      <c r="N3" s="25"/>
      <c r="O3" s="85" t="s">
        <v>111</v>
      </c>
      <c r="P3" s="84" t="s">
        <v>112</v>
      </c>
      <c r="Q3" s="25"/>
      <c r="R3" s="25"/>
      <c r="S3" s="84" t="s">
        <v>96</v>
      </c>
      <c r="T3" s="84" t="s">
        <v>110</v>
      </c>
      <c r="U3" s="84" t="s">
        <v>113</v>
      </c>
      <c r="V3" s="84" t="s">
        <v>114</v>
      </c>
      <c r="W3" s="86"/>
      <c r="X3" s="87"/>
      <c r="Y3" s="25"/>
      <c r="Z3" s="25"/>
      <c r="AA3" s="25"/>
      <c r="AB3" s="25"/>
      <c r="AC3" s="25"/>
      <c r="AD3" s="25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</row>
    <row r="4" ht="36.0" hidden="1" customHeight="1">
      <c r="A4" s="90">
        <v>1.0</v>
      </c>
      <c r="B4" s="93">
        <f t="shared" ref="B4:B8" si="1">$F$1</f>
        <v>46266</v>
      </c>
      <c r="C4" s="94" t="s">
        <v>115</v>
      </c>
      <c r="D4" s="95"/>
      <c r="E4" s="95"/>
      <c r="F4" s="97">
        <v>0.0</v>
      </c>
      <c r="G4" s="95"/>
      <c r="H4" s="95"/>
      <c r="I4" s="97">
        <v>0.0</v>
      </c>
      <c r="J4" s="95"/>
      <c r="K4" s="95"/>
      <c r="L4" s="97">
        <v>0.0</v>
      </c>
      <c r="M4" s="95"/>
      <c r="N4" s="95"/>
      <c r="O4" s="95"/>
      <c r="P4" s="95"/>
      <c r="Q4" s="95"/>
      <c r="R4" s="95"/>
      <c r="S4" s="97"/>
      <c r="T4" s="97">
        <v>0.0</v>
      </c>
      <c r="U4" s="95"/>
      <c r="V4" s="95"/>
      <c r="W4" s="97">
        <v>0.0</v>
      </c>
      <c r="X4" s="95"/>
      <c r="Y4" s="100">
        <f t="shared" ref="Y4:Y8" si="2">W4</f>
        <v>0</v>
      </c>
      <c r="Z4" s="97">
        <v>0.0</v>
      </c>
      <c r="AA4" s="97">
        <v>0.0</v>
      </c>
      <c r="AB4" s="97">
        <v>0.0</v>
      </c>
      <c r="AC4" s="97">
        <v>31.0</v>
      </c>
      <c r="AD4" s="101">
        <v>0.0</v>
      </c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</row>
    <row r="5" ht="36.0" hidden="1" customHeight="1">
      <c r="A5" s="90">
        <v>2.0</v>
      </c>
      <c r="B5" s="93">
        <f t="shared" si="1"/>
        <v>46266</v>
      </c>
      <c r="C5" s="94" t="s">
        <v>119</v>
      </c>
      <c r="D5" s="95"/>
      <c r="E5" s="95"/>
      <c r="F5" s="97"/>
      <c r="G5" s="95"/>
      <c r="H5" s="95"/>
      <c r="I5" s="97"/>
      <c r="J5" s="95"/>
      <c r="K5" s="95"/>
      <c r="L5" s="97"/>
      <c r="M5" s="95"/>
      <c r="N5" s="95"/>
      <c r="O5" s="95"/>
      <c r="P5" s="95"/>
      <c r="Q5" s="95"/>
      <c r="R5" s="95"/>
      <c r="S5" s="97"/>
      <c r="T5" s="97"/>
      <c r="U5" s="95"/>
      <c r="V5" s="95"/>
      <c r="W5" s="97"/>
      <c r="X5" s="95"/>
      <c r="Y5" s="100" t="str">
        <f t="shared" si="2"/>
        <v/>
      </c>
      <c r="Z5" s="97"/>
      <c r="AA5" s="97"/>
      <c r="AB5" s="97"/>
      <c r="AC5" s="97"/>
      <c r="AD5" s="101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</row>
    <row r="6" ht="36.0" hidden="1" customHeight="1">
      <c r="A6" s="90">
        <v>3.0</v>
      </c>
      <c r="B6" s="93">
        <f t="shared" si="1"/>
        <v>46266</v>
      </c>
      <c r="C6" s="94" t="s">
        <v>123</v>
      </c>
      <c r="D6" s="95"/>
      <c r="E6" s="95"/>
      <c r="F6" s="97"/>
      <c r="G6" s="95"/>
      <c r="H6" s="95"/>
      <c r="I6" s="97"/>
      <c r="J6" s="95"/>
      <c r="K6" s="95"/>
      <c r="L6" s="97"/>
      <c r="M6" s="95"/>
      <c r="N6" s="95"/>
      <c r="O6" s="95"/>
      <c r="P6" s="95"/>
      <c r="Q6" s="95"/>
      <c r="R6" s="95"/>
      <c r="S6" s="97"/>
      <c r="T6" s="97"/>
      <c r="U6" s="95"/>
      <c r="V6" s="95"/>
      <c r="W6" s="97"/>
      <c r="X6" s="95"/>
      <c r="Y6" s="100" t="str">
        <f t="shared" si="2"/>
        <v/>
      </c>
      <c r="Z6" s="97"/>
      <c r="AA6" s="106"/>
      <c r="AB6" s="97"/>
      <c r="AC6" s="97"/>
      <c r="AD6" s="101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</row>
    <row r="7" ht="36.0" hidden="1" customHeight="1">
      <c r="A7" s="90">
        <v>4.0</v>
      </c>
      <c r="B7" s="93">
        <f t="shared" si="1"/>
        <v>46266</v>
      </c>
      <c r="C7" s="94" t="s">
        <v>128</v>
      </c>
      <c r="D7" s="95"/>
      <c r="E7" s="95"/>
      <c r="F7" s="97">
        <v>872.0</v>
      </c>
      <c r="G7" s="95"/>
      <c r="H7" s="95"/>
      <c r="I7" s="97">
        <v>682.0</v>
      </c>
      <c r="J7" s="95"/>
      <c r="K7" s="95"/>
      <c r="L7" s="108">
        <v>1.5517475E7</v>
      </c>
      <c r="M7" s="95"/>
      <c r="N7" s="95"/>
      <c r="O7" s="95"/>
      <c r="P7" s="95"/>
      <c r="Q7" s="95"/>
      <c r="R7" s="95"/>
      <c r="S7" s="97"/>
      <c r="T7" s="97">
        <v>37.0</v>
      </c>
      <c r="U7" s="95"/>
      <c r="V7" s="95"/>
      <c r="W7" s="97"/>
      <c r="X7" s="95"/>
      <c r="Y7" s="100" t="str">
        <f t="shared" si="2"/>
        <v/>
      </c>
      <c r="Z7" s="109">
        <v>5.1998307E7</v>
      </c>
      <c r="AA7" s="109">
        <v>2858154.0</v>
      </c>
      <c r="AB7" s="97">
        <v>87.0</v>
      </c>
      <c r="AC7" s="97">
        <v>30.0</v>
      </c>
      <c r="AD7" s="101">
        <v>298113.0</v>
      </c>
      <c r="AE7" s="110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</row>
    <row r="8" ht="36.0" hidden="1" customHeight="1">
      <c r="A8" s="90">
        <v>5.0</v>
      </c>
      <c r="B8" s="93">
        <f t="shared" si="1"/>
        <v>46266</v>
      </c>
      <c r="C8" s="113" t="s">
        <v>105</v>
      </c>
      <c r="D8" s="95"/>
      <c r="E8" s="95"/>
      <c r="F8" s="97"/>
      <c r="G8" s="95"/>
      <c r="H8" s="95"/>
      <c r="I8" s="115"/>
      <c r="J8" s="117"/>
      <c r="K8" s="117"/>
      <c r="L8" s="109"/>
      <c r="M8" s="95"/>
      <c r="N8" s="95"/>
      <c r="O8" s="95"/>
      <c r="P8" s="95"/>
      <c r="Q8" s="95"/>
      <c r="R8" s="95"/>
      <c r="S8" s="97"/>
      <c r="T8" s="97"/>
      <c r="U8" s="95"/>
      <c r="V8" s="95"/>
      <c r="W8" s="97"/>
      <c r="X8" s="95"/>
      <c r="Y8" s="100" t="str">
        <f t="shared" si="2"/>
        <v/>
      </c>
      <c r="Z8" s="109"/>
      <c r="AA8" s="109"/>
      <c r="AB8" s="97"/>
      <c r="AC8" s="97"/>
      <c r="AD8" s="101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</row>
    <row r="9" hidden="1">
      <c r="A9" s="120" t="s">
        <v>96</v>
      </c>
      <c r="B9" s="14"/>
      <c r="C9" s="15"/>
      <c r="D9" s="121">
        <f t="shared" ref="D9:AD9" si="3">SUM(D4:D8)</f>
        <v>0</v>
      </c>
      <c r="E9" s="121">
        <f t="shared" si="3"/>
        <v>0</v>
      </c>
      <c r="F9" s="121">
        <f t="shared" si="3"/>
        <v>872</v>
      </c>
      <c r="G9" s="121">
        <f t="shared" si="3"/>
        <v>0</v>
      </c>
      <c r="H9" s="121">
        <f t="shared" si="3"/>
        <v>0</v>
      </c>
      <c r="I9" s="121">
        <f t="shared" si="3"/>
        <v>682</v>
      </c>
      <c r="J9" s="121">
        <f t="shared" si="3"/>
        <v>0</v>
      </c>
      <c r="K9" s="121">
        <f t="shared" si="3"/>
        <v>0</v>
      </c>
      <c r="L9" s="121">
        <f t="shared" si="3"/>
        <v>15517475</v>
      </c>
      <c r="M9" s="121">
        <f t="shared" si="3"/>
        <v>0</v>
      </c>
      <c r="N9" s="121">
        <f t="shared" si="3"/>
        <v>0</v>
      </c>
      <c r="O9" s="121">
        <f t="shared" si="3"/>
        <v>0</v>
      </c>
      <c r="P9" s="121">
        <f t="shared" si="3"/>
        <v>0</v>
      </c>
      <c r="Q9" s="121">
        <f t="shared" si="3"/>
        <v>0</v>
      </c>
      <c r="R9" s="121">
        <f t="shared" si="3"/>
        <v>0</v>
      </c>
      <c r="S9" s="121">
        <f t="shared" si="3"/>
        <v>0</v>
      </c>
      <c r="T9" s="121">
        <f t="shared" si="3"/>
        <v>37</v>
      </c>
      <c r="U9" s="121">
        <f t="shared" si="3"/>
        <v>0</v>
      </c>
      <c r="V9" s="121">
        <f t="shared" si="3"/>
        <v>0</v>
      </c>
      <c r="W9" s="121">
        <f t="shared" si="3"/>
        <v>0</v>
      </c>
      <c r="X9" s="121">
        <f t="shared" si="3"/>
        <v>0</v>
      </c>
      <c r="Y9" s="121">
        <f t="shared" si="3"/>
        <v>0</v>
      </c>
      <c r="Z9" s="121">
        <f t="shared" si="3"/>
        <v>51998307</v>
      </c>
      <c r="AA9" s="121">
        <f t="shared" si="3"/>
        <v>2858154</v>
      </c>
      <c r="AB9" s="121">
        <f t="shared" si="3"/>
        <v>87</v>
      </c>
      <c r="AC9" s="121">
        <f t="shared" si="3"/>
        <v>61</v>
      </c>
      <c r="AD9" s="121">
        <f t="shared" si="3"/>
        <v>298113</v>
      </c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</row>
    <row r="10" hidden="1">
      <c r="A10" s="38"/>
      <c r="B10" s="38"/>
      <c r="C10" s="38" t="s">
        <v>50</v>
      </c>
      <c r="F10" s="133">
        <f>F1+1</f>
        <v>46267</v>
      </c>
      <c r="G10" s="23"/>
      <c r="H10" s="23"/>
      <c r="I10" s="23"/>
      <c r="K10" s="50">
        <f>F10</f>
        <v>46267</v>
      </c>
      <c r="L10" s="23"/>
      <c r="M10" s="23"/>
      <c r="N10" s="23"/>
      <c r="O10" s="23"/>
      <c r="P10" s="23"/>
      <c r="Q10" s="23"/>
      <c r="R10" s="23"/>
      <c r="S10" s="23"/>
      <c r="T10" s="23"/>
      <c r="W10" s="54"/>
      <c r="X10" s="54"/>
      <c r="Y10" s="54"/>
      <c r="Z10" s="54"/>
      <c r="AA10" s="56"/>
      <c r="AB10" s="54"/>
      <c r="AC10" s="54"/>
      <c r="AD10" s="54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</row>
    <row r="11" hidden="1">
      <c r="A11" s="60" t="s">
        <v>74</v>
      </c>
      <c r="B11" s="63" t="s">
        <v>78</v>
      </c>
      <c r="C11" s="65" t="s">
        <v>53</v>
      </c>
      <c r="D11" s="66" t="s">
        <v>58</v>
      </c>
      <c r="E11" s="15"/>
      <c r="F11" s="68" t="s">
        <v>81</v>
      </c>
      <c r="G11" s="70" t="s">
        <v>82</v>
      </c>
      <c r="H11" s="15"/>
      <c r="I11" s="68" t="s">
        <v>84</v>
      </c>
      <c r="J11" s="68" t="s">
        <v>85</v>
      </c>
      <c r="K11" s="68" t="s">
        <v>86</v>
      </c>
      <c r="L11" s="68" t="s">
        <v>66</v>
      </c>
      <c r="M11" s="68" t="s">
        <v>88</v>
      </c>
      <c r="N11" s="68" t="s">
        <v>89</v>
      </c>
      <c r="O11" s="72" t="s">
        <v>90</v>
      </c>
      <c r="P11" s="15"/>
      <c r="Q11" s="68" t="s">
        <v>92</v>
      </c>
      <c r="R11" s="68" t="s">
        <v>93</v>
      </c>
      <c r="S11" s="73" t="s">
        <v>94</v>
      </c>
      <c r="T11" s="15"/>
      <c r="U11" s="70" t="s">
        <v>95</v>
      </c>
      <c r="V11" s="15"/>
      <c r="W11" s="76" t="s">
        <v>97</v>
      </c>
      <c r="X11" s="77"/>
      <c r="Y11" s="68" t="s">
        <v>102</v>
      </c>
      <c r="Z11" s="68" t="s">
        <v>103</v>
      </c>
      <c r="AA11" s="68" t="s">
        <v>104</v>
      </c>
      <c r="AB11" s="68" t="s">
        <v>106</v>
      </c>
      <c r="AC11" s="68" t="s">
        <v>107</v>
      </c>
      <c r="AD11" s="81" t="s">
        <v>108</v>
      </c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</row>
    <row r="12" ht="24.0" hidden="1" customHeight="1">
      <c r="A12" s="25"/>
      <c r="B12" s="25"/>
      <c r="C12" s="25"/>
      <c r="D12" s="84" t="s">
        <v>109</v>
      </c>
      <c r="E12" s="84" t="s">
        <v>110</v>
      </c>
      <c r="F12" s="25"/>
      <c r="G12" s="84" t="s">
        <v>109</v>
      </c>
      <c r="H12" s="84" t="s">
        <v>110</v>
      </c>
      <c r="I12" s="25"/>
      <c r="J12" s="25"/>
      <c r="K12" s="25"/>
      <c r="L12" s="25"/>
      <c r="M12" s="25"/>
      <c r="N12" s="25"/>
      <c r="O12" s="85" t="s">
        <v>111</v>
      </c>
      <c r="P12" s="84" t="s">
        <v>112</v>
      </c>
      <c r="Q12" s="25"/>
      <c r="R12" s="25"/>
      <c r="S12" s="84" t="s">
        <v>96</v>
      </c>
      <c r="T12" s="84" t="s">
        <v>110</v>
      </c>
      <c r="U12" s="84" t="s">
        <v>113</v>
      </c>
      <c r="V12" s="84" t="s">
        <v>114</v>
      </c>
      <c r="W12" s="86"/>
      <c r="X12" s="87"/>
      <c r="Y12" s="25"/>
      <c r="Z12" s="25"/>
      <c r="AA12" s="25"/>
      <c r="AB12" s="25"/>
      <c r="AC12" s="25"/>
      <c r="AD12" s="25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</row>
    <row r="13" ht="36.0" hidden="1" customHeight="1">
      <c r="A13" s="145">
        <v>1.0</v>
      </c>
      <c r="B13" s="93">
        <f t="shared" ref="B13:B17" si="4">$F$10</f>
        <v>46267</v>
      </c>
      <c r="C13" s="94" t="s">
        <v>115</v>
      </c>
      <c r="D13" s="95"/>
      <c r="E13" s="95"/>
      <c r="F13" s="97"/>
      <c r="G13" s="95"/>
      <c r="H13" s="95"/>
      <c r="I13" s="97"/>
      <c r="J13" s="95"/>
      <c r="K13" s="95"/>
      <c r="L13" s="97"/>
      <c r="M13" s="95"/>
      <c r="N13" s="95"/>
      <c r="O13" s="95"/>
      <c r="P13" s="95"/>
      <c r="Q13" s="95"/>
      <c r="R13" s="95"/>
      <c r="S13" s="97"/>
      <c r="T13" s="97"/>
      <c r="U13" s="95"/>
      <c r="V13" s="95"/>
      <c r="W13" s="97"/>
      <c r="X13" s="95"/>
      <c r="Y13" s="100">
        <f t="shared" ref="Y13:Y17" si="5">Y4+W13</f>
        <v>0</v>
      </c>
      <c r="Z13" s="97"/>
      <c r="AA13" s="97"/>
      <c r="AB13" s="97"/>
      <c r="AC13" s="97"/>
      <c r="AD13" s="101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</row>
    <row r="14" ht="36.0" hidden="1" customHeight="1">
      <c r="A14" s="145">
        <v>2.0</v>
      </c>
      <c r="B14" s="93">
        <f t="shared" si="4"/>
        <v>46267</v>
      </c>
      <c r="C14" s="94" t="s">
        <v>119</v>
      </c>
      <c r="D14" s="95"/>
      <c r="E14" s="95"/>
      <c r="F14" s="97"/>
      <c r="G14" s="95"/>
      <c r="H14" s="95"/>
      <c r="I14" s="97"/>
      <c r="J14" s="95"/>
      <c r="K14" s="95"/>
      <c r="L14" s="97"/>
      <c r="M14" s="95"/>
      <c r="N14" s="95"/>
      <c r="O14" s="95"/>
      <c r="P14" s="95"/>
      <c r="Q14" s="95"/>
      <c r="R14" s="95"/>
      <c r="S14" s="97"/>
      <c r="T14" s="97"/>
      <c r="U14" s="95"/>
      <c r="V14" s="95"/>
      <c r="W14" s="97"/>
      <c r="X14" s="95"/>
      <c r="Y14" s="100">
        <f t="shared" si="5"/>
        <v>0</v>
      </c>
      <c r="Z14" s="97"/>
      <c r="AA14" s="97"/>
      <c r="AB14" s="97"/>
      <c r="AC14" s="97"/>
      <c r="AD14" s="101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</row>
    <row r="15" ht="36.0" hidden="1" customHeight="1">
      <c r="A15" s="145">
        <v>3.0</v>
      </c>
      <c r="B15" s="93">
        <f t="shared" si="4"/>
        <v>46267</v>
      </c>
      <c r="C15" s="94" t="s">
        <v>123</v>
      </c>
      <c r="D15" s="95"/>
      <c r="E15" s="95"/>
      <c r="F15" s="97"/>
      <c r="G15" s="95"/>
      <c r="H15" s="95"/>
      <c r="I15" s="97"/>
      <c r="J15" s="95"/>
      <c r="K15" s="95"/>
      <c r="L15" s="97"/>
      <c r="M15" s="95"/>
      <c r="N15" s="95"/>
      <c r="O15" s="95"/>
      <c r="P15" s="95"/>
      <c r="Q15" s="95"/>
      <c r="R15" s="95"/>
      <c r="S15" s="97"/>
      <c r="T15" s="97"/>
      <c r="U15" s="95"/>
      <c r="V15" s="95"/>
      <c r="W15" s="97">
        <v>600000.0</v>
      </c>
      <c r="X15" s="95"/>
      <c r="Y15" s="100">
        <f t="shared" si="5"/>
        <v>600000</v>
      </c>
      <c r="Z15" s="97"/>
      <c r="AA15" s="106"/>
      <c r="AB15" s="97"/>
      <c r="AC15" s="97"/>
      <c r="AD15" s="101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</row>
    <row r="16" ht="36.0" hidden="1" customHeight="1">
      <c r="A16" s="145">
        <v>4.0</v>
      </c>
      <c r="B16" s="93">
        <f t="shared" si="4"/>
        <v>46267</v>
      </c>
      <c r="C16" s="94" t="s">
        <v>128</v>
      </c>
      <c r="D16" s="95"/>
      <c r="E16" s="95"/>
      <c r="F16" s="97"/>
      <c r="G16" s="95"/>
      <c r="H16" s="95"/>
      <c r="I16" s="97"/>
      <c r="J16" s="95"/>
      <c r="K16" s="95"/>
      <c r="L16" s="108"/>
      <c r="M16" s="95"/>
      <c r="N16" s="95"/>
      <c r="O16" s="95"/>
      <c r="P16" s="95"/>
      <c r="Q16" s="95"/>
      <c r="R16" s="95"/>
      <c r="S16" s="97"/>
      <c r="T16" s="97"/>
      <c r="U16" s="95"/>
      <c r="V16" s="95"/>
      <c r="W16" s="97"/>
      <c r="X16" s="95"/>
      <c r="Y16" s="100">
        <f t="shared" si="5"/>
        <v>0</v>
      </c>
      <c r="Z16" s="109"/>
      <c r="AA16" s="109"/>
      <c r="AB16" s="97"/>
      <c r="AC16" s="97"/>
      <c r="AD16" s="101"/>
      <c r="AE16" s="15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</row>
    <row r="17" ht="36.0" hidden="1" customHeight="1">
      <c r="A17" s="145">
        <v>5.0</v>
      </c>
      <c r="B17" s="93">
        <f t="shared" si="4"/>
        <v>46267</v>
      </c>
      <c r="C17" s="113" t="s">
        <v>105</v>
      </c>
      <c r="D17" s="95"/>
      <c r="E17" s="95"/>
      <c r="F17" s="97"/>
      <c r="G17" s="95"/>
      <c r="H17" s="95"/>
      <c r="I17" s="115"/>
      <c r="J17" s="117"/>
      <c r="K17" s="117"/>
      <c r="L17" s="109"/>
      <c r="M17" s="95"/>
      <c r="N17" s="95"/>
      <c r="O17" s="95"/>
      <c r="P17" s="95"/>
      <c r="Q17" s="95"/>
      <c r="R17" s="95"/>
      <c r="S17" s="97"/>
      <c r="T17" s="97"/>
      <c r="U17" s="95"/>
      <c r="V17" s="95"/>
      <c r="W17" s="97"/>
      <c r="X17" s="95"/>
      <c r="Y17" s="100">
        <f t="shared" si="5"/>
        <v>0</v>
      </c>
      <c r="Z17" s="109"/>
      <c r="AA17" s="109"/>
      <c r="AB17" s="97"/>
      <c r="AC17" s="97"/>
      <c r="AD17" s="101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</row>
    <row r="18" hidden="1">
      <c r="A18" s="120" t="s">
        <v>96</v>
      </c>
      <c r="B18" s="14"/>
      <c r="C18" s="15"/>
      <c r="D18" s="121">
        <f t="shared" ref="D18:AD18" si="6">SUM(D13:D17)</f>
        <v>0</v>
      </c>
      <c r="E18" s="121">
        <f t="shared" si="6"/>
        <v>0</v>
      </c>
      <c r="F18" s="121">
        <f t="shared" si="6"/>
        <v>0</v>
      </c>
      <c r="G18" s="121">
        <f t="shared" si="6"/>
        <v>0</v>
      </c>
      <c r="H18" s="121">
        <f t="shared" si="6"/>
        <v>0</v>
      </c>
      <c r="I18" s="121">
        <f t="shared" si="6"/>
        <v>0</v>
      </c>
      <c r="J18" s="121">
        <f t="shared" si="6"/>
        <v>0</v>
      </c>
      <c r="K18" s="121">
        <f t="shared" si="6"/>
        <v>0</v>
      </c>
      <c r="L18" s="121">
        <f t="shared" si="6"/>
        <v>0</v>
      </c>
      <c r="M18" s="121">
        <f t="shared" si="6"/>
        <v>0</v>
      </c>
      <c r="N18" s="121">
        <f t="shared" si="6"/>
        <v>0</v>
      </c>
      <c r="O18" s="121">
        <f t="shared" si="6"/>
        <v>0</v>
      </c>
      <c r="P18" s="121">
        <f t="shared" si="6"/>
        <v>0</v>
      </c>
      <c r="Q18" s="121">
        <f t="shared" si="6"/>
        <v>0</v>
      </c>
      <c r="R18" s="121">
        <f t="shared" si="6"/>
        <v>0</v>
      </c>
      <c r="S18" s="121">
        <f t="shared" si="6"/>
        <v>0</v>
      </c>
      <c r="T18" s="121">
        <f t="shared" si="6"/>
        <v>0</v>
      </c>
      <c r="U18" s="121">
        <f t="shared" si="6"/>
        <v>0</v>
      </c>
      <c r="V18" s="121">
        <f t="shared" si="6"/>
        <v>0</v>
      </c>
      <c r="W18" s="121">
        <f t="shared" si="6"/>
        <v>600000</v>
      </c>
      <c r="X18" s="121">
        <f t="shared" si="6"/>
        <v>0</v>
      </c>
      <c r="Y18" s="121">
        <f t="shared" si="6"/>
        <v>600000</v>
      </c>
      <c r="Z18" s="121">
        <f t="shared" si="6"/>
        <v>0</v>
      </c>
      <c r="AA18" s="121">
        <f t="shared" si="6"/>
        <v>0</v>
      </c>
      <c r="AB18" s="121">
        <f t="shared" si="6"/>
        <v>0</v>
      </c>
      <c r="AC18" s="121">
        <f t="shared" si="6"/>
        <v>0</v>
      </c>
      <c r="AD18" s="121">
        <f t="shared" si="6"/>
        <v>0</v>
      </c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</row>
    <row r="19" hidden="1">
      <c r="A19" s="38"/>
      <c r="B19" s="38"/>
      <c r="C19" s="38" t="s">
        <v>50</v>
      </c>
      <c r="F19" s="133">
        <f>F10+1</f>
        <v>46268</v>
      </c>
      <c r="G19" s="23"/>
      <c r="H19" s="23"/>
      <c r="I19" s="23"/>
      <c r="K19" s="50">
        <f>F19</f>
        <v>46268</v>
      </c>
      <c r="L19" s="23"/>
      <c r="M19" s="23"/>
      <c r="N19" s="23"/>
      <c r="O19" s="23"/>
      <c r="P19" s="23"/>
      <c r="Q19" s="23"/>
      <c r="R19" s="23"/>
      <c r="S19" s="23"/>
      <c r="T19" s="23"/>
      <c r="W19" s="54"/>
      <c r="X19" s="54"/>
      <c r="Y19" s="54"/>
      <c r="Z19" s="54"/>
      <c r="AA19" s="56"/>
      <c r="AB19" s="54"/>
      <c r="AC19" s="54"/>
      <c r="AD19" s="54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</row>
    <row r="20" ht="19.5" hidden="1" customHeight="1">
      <c r="A20" s="60" t="s">
        <v>74</v>
      </c>
      <c r="B20" s="63" t="s">
        <v>78</v>
      </c>
      <c r="C20" s="65" t="s">
        <v>53</v>
      </c>
      <c r="D20" s="66" t="s">
        <v>58</v>
      </c>
      <c r="E20" s="15"/>
      <c r="F20" s="68" t="s">
        <v>81</v>
      </c>
      <c r="G20" s="70" t="s">
        <v>82</v>
      </c>
      <c r="H20" s="15"/>
      <c r="I20" s="68" t="s">
        <v>84</v>
      </c>
      <c r="J20" s="68" t="s">
        <v>85</v>
      </c>
      <c r="K20" s="68" t="s">
        <v>86</v>
      </c>
      <c r="L20" s="68" t="s">
        <v>66</v>
      </c>
      <c r="M20" s="68" t="s">
        <v>88</v>
      </c>
      <c r="N20" s="68" t="s">
        <v>89</v>
      </c>
      <c r="O20" s="72" t="s">
        <v>90</v>
      </c>
      <c r="P20" s="15"/>
      <c r="Q20" s="68" t="s">
        <v>92</v>
      </c>
      <c r="R20" s="68" t="s">
        <v>93</v>
      </c>
      <c r="S20" s="162" t="s">
        <v>94</v>
      </c>
      <c r="T20" s="77"/>
      <c r="U20" s="70" t="s">
        <v>95</v>
      </c>
      <c r="V20" s="15"/>
      <c r="W20" s="76" t="s">
        <v>97</v>
      </c>
      <c r="X20" s="77"/>
      <c r="Y20" s="68" t="s">
        <v>102</v>
      </c>
      <c r="Z20" s="68" t="s">
        <v>103</v>
      </c>
      <c r="AA20" s="68" t="s">
        <v>104</v>
      </c>
      <c r="AB20" s="68" t="s">
        <v>106</v>
      </c>
      <c r="AC20" s="68" t="s">
        <v>107</v>
      </c>
      <c r="AD20" s="81" t="s">
        <v>108</v>
      </c>
      <c r="AE20" s="165" t="s">
        <v>108</v>
      </c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</row>
    <row r="21" ht="24.0" hidden="1" customHeight="1">
      <c r="A21" s="25"/>
      <c r="B21" s="25"/>
      <c r="C21" s="25"/>
      <c r="D21" s="84" t="s">
        <v>109</v>
      </c>
      <c r="E21" s="84" t="s">
        <v>110</v>
      </c>
      <c r="F21" s="25"/>
      <c r="G21" s="84" t="s">
        <v>109</v>
      </c>
      <c r="H21" s="84" t="s">
        <v>110</v>
      </c>
      <c r="I21" s="25"/>
      <c r="J21" s="25"/>
      <c r="K21" s="25"/>
      <c r="L21" s="25"/>
      <c r="M21" s="25"/>
      <c r="N21" s="25"/>
      <c r="O21" s="85" t="s">
        <v>111</v>
      </c>
      <c r="P21" s="84" t="s">
        <v>112</v>
      </c>
      <c r="Q21" s="25"/>
      <c r="R21" s="25"/>
      <c r="S21" s="86"/>
      <c r="T21" s="87"/>
      <c r="U21" s="84" t="s">
        <v>113</v>
      </c>
      <c r="V21" s="84" t="s">
        <v>114</v>
      </c>
      <c r="W21" s="86"/>
      <c r="X21" s="87"/>
      <c r="Y21" s="25"/>
      <c r="Z21" s="25"/>
      <c r="AA21" s="25"/>
      <c r="AB21" s="25"/>
      <c r="AC21" s="25"/>
      <c r="AD21" s="25"/>
      <c r="AE21" s="86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</row>
    <row r="22" ht="36.0" hidden="1" customHeight="1">
      <c r="A22" s="90">
        <v>1.0</v>
      </c>
      <c r="B22" s="93">
        <f t="shared" ref="B22:B26" si="7">$F$19</f>
        <v>46268</v>
      </c>
      <c r="C22" s="94" t="s">
        <v>115</v>
      </c>
      <c r="D22" s="95"/>
      <c r="E22" s="95"/>
      <c r="F22" s="97">
        <v>783.0</v>
      </c>
      <c r="G22" s="95"/>
      <c r="H22" s="95"/>
      <c r="I22" s="97">
        <v>636.0</v>
      </c>
      <c r="J22" s="95"/>
      <c r="K22" s="95"/>
      <c r="L22" s="97">
        <v>1.9409061E7</v>
      </c>
      <c r="M22" s="95"/>
      <c r="N22" s="95"/>
      <c r="O22" s="95"/>
      <c r="P22" s="95"/>
      <c r="Q22" s="95"/>
      <c r="R22" s="95"/>
      <c r="S22" s="97"/>
      <c r="T22" s="97">
        <v>31.0</v>
      </c>
      <c r="U22" s="95"/>
      <c r="V22" s="95"/>
      <c r="W22" s="97">
        <v>230000.0</v>
      </c>
      <c r="X22" s="95"/>
      <c r="Y22" s="100">
        <f t="shared" ref="Y22:Y26" si="8">Y13+W22</f>
        <v>230000</v>
      </c>
      <c r="Z22" s="97">
        <v>5.3808716E7</v>
      </c>
      <c r="AA22" s="97">
        <v>2661956.0</v>
      </c>
      <c r="AB22" s="97">
        <v>90.0</v>
      </c>
      <c r="AC22" s="97">
        <v>0.0</v>
      </c>
      <c r="AD22" s="101">
        <v>323786.0</v>
      </c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</row>
    <row r="23" ht="36.0" hidden="1" customHeight="1">
      <c r="A23" s="90">
        <v>2.0</v>
      </c>
      <c r="B23" s="93">
        <f t="shared" si="7"/>
        <v>46268</v>
      </c>
      <c r="C23" s="94" t="s">
        <v>119</v>
      </c>
      <c r="D23" s="95"/>
      <c r="E23" s="95"/>
      <c r="F23" s="97">
        <v>895.0</v>
      </c>
      <c r="G23" s="95"/>
      <c r="H23" s="95"/>
      <c r="I23" s="97">
        <v>740.0</v>
      </c>
      <c r="J23" s="95"/>
      <c r="K23" s="95"/>
      <c r="L23" s="97">
        <v>1.6277145E7</v>
      </c>
      <c r="M23" s="95"/>
      <c r="N23" s="95"/>
      <c r="O23" s="95"/>
      <c r="P23" s="95"/>
      <c r="Q23" s="95"/>
      <c r="R23" s="95"/>
      <c r="S23" s="97"/>
      <c r="T23" s="97">
        <v>19.0</v>
      </c>
      <c r="U23" s="95"/>
      <c r="V23" s="95"/>
      <c r="W23" s="97">
        <v>420000.0</v>
      </c>
      <c r="X23" s="95"/>
      <c r="Y23" s="100">
        <f t="shared" si="8"/>
        <v>420000</v>
      </c>
      <c r="Z23" s="97">
        <v>5.2138099E7</v>
      </c>
      <c r="AA23" s="97">
        <v>2507070.0</v>
      </c>
      <c r="AB23" s="97">
        <v>96.0</v>
      </c>
      <c r="AC23" s="97">
        <v>221.0</v>
      </c>
      <c r="AD23" s="101">
        <v>507664.0</v>
      </c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</row>
    <row r="24" ht="36.0" hidden="1" customHeight="1">
      <c r="A24" s="90">
        <v>3.0</v>
      </c>
      <c r="B24" s="93">
        <f t="shared" si="7"/>
        <v>46268</v>
      </c>
      <c r="C24" s="94" t="s">
        <v>123</v>
      </c>
      <c r="D24" s="95"/>
      <c r="E24" s="95"/>
      <c r="F24" s="97">
        <v>915.0</v>
      </c>
      <c r="G24" s="95"/>
      <c r="H24" s="95"/>
      <c r="I24" s="97">
        <v>757.0</v>
      </c>
      <c r="J24" s="95"/>
      <c r="K24" s="95"/>
      <c r="L24" s="97">
        <v>2.2818474E7</v>
      </c>
      <c r="M24" s="95"/>
      <c r="N24" s="95"/>
      <c r="O24" s="95"/>
      <c r="P24" s="95"/>
      <c r="Q24" s="95"/>
      <c r="R24" s="95"/>
      <c r="S24" s="97"/>
      <c r="T24" s="97">
        <v>86.0</v>
      </c>
      <c r="U24" s="95"/>
      <c r="V24" s="95"/>
      <c r="W24" s="97">
        <v>550000.0</v>
      </c>
      <c r="X24" s="95"/>
      <c r="Y24" s="100">
        <f t="shared" si="8"/>
        <v>1150000</v>
      </c>
      <c r="Z24" s="97">
        <v>6.7778747E7</v>
      </c>
      <c r="AA24" s="106">
        <v>2.770364E7</v>
      </c>
      <c r="AB24" s="97">
        <v>83.0</v>
      </c>
      <c r="AC24" s="97">
        <v>156.0</v>
      </c>
      <c r="AD24" s="101">
        <v>595323.0</v>
      </c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</row>
    <row r="25" ht="36.0" hidden="1" customHeight="1">
      <c r="A25" s="90">
        <v>4.0</v>
      </c>
      <c r="B25" s="93">
        <f t="shared" si="7"/>
        <v>46268</v>
      </c>
      <c r="C25" s="94" t="s">
        <v>128</v>
      </c>
      <c r="D25" s="95"/>
      <c r="E25" s="95"/>
      <c r="F25" s="97">
        <v>872.0</v>
      </c>
      <c r="G25" s="95"/>
      <c r="H25" s="95"/>
      <c r="I25" s="97">
        <v>682.0</v>
      </c>
      <c r="J25" s="95"/>
      <c r="K25" s="95"/>
      <c r="L25" s="108">
        <v>1.5517475E7</v>
      </c>
      <c r="M25" s="95"/>
      <c r="N25" s="95"/>
      <c r="O25" s="95"/>
      <c r="P25" s="95"/>
      <c r="Q25" s="95"/>
      <c r="R25" s="95"/>
      <c r="S25" s="97"/>
      <c r="T25" s="97">
        <v>37.0</v>
      </c>
      <c r="U25" s="95"/>
      <c r="V25" s="95"/>
      <c r="W25" s="97">
        <v>700000.0</v>
      </c>
      <c r="X25" s="95"/>
      <c r="Y25" s="100">
        <f t="shared" si="8"/>
        <v>700000</v>
      </c>
      <c r="Z25" s="109">
        <v>5.1998307E7</v>
      </c>
      <c r="AA25" s="109">
        <v>2858154.0</v>
      </c>
      <c r="AB25" s="97">
        <v>87.0</v>
      </c>
      <c r="AC25" s="97">
        <v>30.0</v>
      </c>
      <c r="AD25" s="101">
        <v>298113.0</v>
      </c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</row>
    <row r="26" ht="36.0" hidden="1" customHeight="1">
      <c r="A26" s="90">
        <v>5.0</v>
      </c>
      <c r="B26" s="93">
        <f t="shared" si="7"/>
        <v>46268</v>
      </c>
      <c r="C26" s="113" t="s">
        <v>105</v>
      </c>
      <c r="D26" s="95"/>
      <c r="E26" s="95"/>
      <c r="F26" s="97">
        <v>862.0</v>
      </c>
      <c r="G26" s="95"/>
      <c r="H26" s="95"/>
      <c r="I26" s="115">
        <v>698.0</v>
      </c>
      <c r="J26" s="117"/>
      <c r="K26" s="117"/>
      <c r="L26" s="109">
        <v>1.7352854E7</v>
      </c>
      <c r="M26" s="95"/>
      <c r="N26" s="95"/>
      <c r="O26" s="95"/>
      <c r="P26" s="95"/>
      <c r="Q26" s="95"/>
      <c r="R26" s="95"/>
      <c r="S26" s="97"/>
      <c r="T26" s="97">
        <v>28.0</v>
      </c>
      <c r="U26" s="95"/>
      <c r="V26" s="95"/>
      <c r="W26" s="97">
        <v>540000.0</v>
      </c>
      <c r="X26" s="95"/>
      <c r="Y26" s="100">
        <f t="shared" si="8"/>
        <v>540000</v>
      </c>
      <c r="Z26" s="109">
        <v>6.0693393E7</v>
      </c>
      <c r="AA26" s="109">
        <v>2867549.0</v>
      </c>
      <c r="AB26" s="97">
        <v>100.0</v>
      </c>
      <c r="AC26" s="97">
        <v>25.0</v>
      </c>
      <c r="AD26" s="101">
        <v>472888.0</v>
      </c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</row>
    <row r="27" ht="15.75" hidden="1" customHeight="1">
      <c r="A27" s="120" t="s">
        <v>96</v>
      </c>
      <c r="B27" s="14"/>
      <c r="C27" s="15"/>
      <c r="D27" s="121">
        <f t="shared" ref="D27:AD27" si="9">SUM(D22:D26)</f>
        <v>0</v>
      </c>
      <c r="E27" s="121">
        <f t="shared" si="9"/>
        <v>0</v>
      </c>
      <c r="F27" s="121">
        <f t="shared" si="9"/>
        <v>4327</v>
      </c>
      <c r="G27" s="121">
        <f t="shared" si="9"/>
        <v>0</v>
      </c>
      <c r="H27" s="121">
        <f t="shared" si="9"/>
        <v>0</v>
      </c>
      <c r="I27" s="121">
        <f t="shared" si="9"/>
        <v>3513</v>
      </c>
      <c r="J27" s="121">
        <f t="shared" si="9"/>
        <v>0</v>
      </c>
      <c r="K27" s="121">
        <f t="shared" si="9"/>
        <v>0</v>
      </c>
      <c r="L27" s="121">
        <f t="shared" si="9"/>
        <v>91375009</v>
      </c>
      <c r="M27" s="121">
        <f t="shared" si="9"/>
        <v>0</v>
      </c>
      <c r="N27" s="121">
        <f t="shared" si="9"/>
        <v>0</v>
      </c>
      <c r="O27" s="121">
        <f t="shared" si="9"/>
        <v>0</v>
      </c>
      <c r="P27" s="121">
        <f t="shared" si="9"/>
        <v>0</v>
      </c>
      <c r="Q27" s="121">
        <f t="shared" si="9"/>
        <v>0</v>
      </c>
      <c r="R27" s="121">
        <f t="shared" si="9"/>
        <v>0</v>
      </c>
      <c r="S27" s="121">
        <f t="shared" si="9"/>
        <v>0</v>
      </c>
      <c r="T27" s="121">
        <f t="shared" si="9"/>
        <v>201</v>
      </c>
      <c r="U27" s="121">
        <f t="shared" si="9"/>
        <v>0</v>
      </c>
      <c r="V27" s="121">
        <f t="shared" si="9"/>
        <v>0</v>
      </c>
      <c r="W27" s="121">
        <f t="shared" si="9"/>
        <v>2440000</v>
      </c>
      <c r="X27" s="121">
        <f t="shared" si="9"/>
        <v>0</v>
      </c>
      <c r="Y27" s="121">
        <f t="shared" si="9"/>
        <v>3040000</v>
      </c>
      <c r="Z27" s="121">
        <f t="shared" si="9"/>
        <v>286417262</v>
      </c>
      <c r="AA27" s="121">
        <f t="shared" si="9"/>
        <v>38598369</v>
      </c>
      <c r="AB27" s="121">
        <f t="shared" si="9"/>
        <v>456</v>
      </c>
      <c r="AC27" s="121">
        <f t="shared" si="9"/>
        <v>432</v>
      </c>
      <c r="AD27" s="121">
        <f t="shared" si="9"/>
        <v>2197774</v>
      </c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</row>
    <row r="28" ht="15.75" hidden="1" customHeight="1">
      <c r="A28" s="38"/>
      <c r="B28" s="38"/>
      <c r="C28" s="38" t="s">
        <v>50</v>
      </c>
      <c r="F28" s="133">
        <f>F19+3</f>
        <v>46271</v>
      </c>
      <c r="G28" s="23"/>
      <c r="H28" s="23"/>
      <c r="I28" s="23"/>
      <c r="K28" s="50">
        <f>F28</f>
        <v>46271</v>
      </c>
      <c r="L28" s="23"/>
      <c r="M28" s="23"/>
      <c r="N28" s="23"/>
      <c r="O28" s="23"/>
      <c r="P28" s="23"/>
      <c r="Q28" s="23"/>
      <c r="R28" s="23"/>
      <c r="S28" s="23"/>
      <c r="T28" s="23"/>
      <c r="W28" s="54"/>
      <c r="X28" s="54"/>
      <c r="Y28" s="54"/>
      <c r="Z28" s="54"/>
      <c r="AA28" s="56"/>
      <c r="AB28" s="54"/>
      <c r="AC28" s="54"/>
      <c r="AD28" s="54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</row>
    <row r="29" ht="32.25" hidden="1" customHeight="1">
      <c r="A29" s="60" t="s">
        <v>74</v>
      </c>
      <c r="B29" s="63" t="s">
        <v>78</v>
      </c>
      <c r="C29" s="65" t="s">
        <v>53</v>
      </c>
      <c r="D29" s="66" t="s">
        <v>58</v>
      </c>
      <c r="E29" s="15"/>
      <c r="F29" s="68" t="s">
        <v>81</v>
      </c>
      <c r="G29" s="70" t="s">
        <v>82</v>
      </c>
      <c r="H29" s="15"/>
      <c r="I29" s="68" t="s">
        <v>84</v>
      </c>
      <c r="J29" s="68" t="s">
        <v>85</v>
      </c>
      <c r="K29" s="68" t="s">
        <v>86</v>
      </c>
      <c r="L29" s="68" t="s">
        <v>66</v>
      </c>
      <c r="M29" s="68" t="s">
        <v>88</v>
      </c>
      <c r="N29" s="68" t="s">
        <v>89</v>
      </c>
      <c r="O29" s="72" t="s">
        <v>90</v>
      </c>
      <c r="P29" s="15"/>
      <c r="Q29" s="68" t="s">
        <v>92</v>
      </c>
      <c r="R29" s="68" t="s">
        <v>93</v>
      </c>
      <c r="S29" s="73" t="s">
        <v>94</v>
      </c>
      <c r="T29" s="15"/>
      <c r="U29" s="70" t="s">
        <v>95</v>
      </c>
      <c r="V29" s="15"/>
      <c r="W29" s="76" t="s">
        <v>97</v>
      </c>
      <c r="X29" s="77"/>
      <c r="Y29" s="68" t="s">
        <v>102</v>
      </c>
      <c r="Z29" s="68" t="s">
        <v>103</v>
      </c>
      <c r="AA29" s="68" t="s">
        <v>104</v>
      </c>
      <c r="AB29" s="68" t="s">
        <v>106</v>
      </c>
      <c r="AC29" s="68" t="s">
        <v>107</v>
      </c>
      <c r="AD29" s="81" t="s">
        <v>108</v>
      </c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</row>
    <row r="30" ht="15.75" hidden="1" customHeight="1">
      <c r="A30" s="25"/>
      <c r="B30" s="25"/>
      <c r="C30" s="25"/>
      <c r="D30" s="84" t="s">
        <v>109</v>
      </c>
      <c r="E30" s="84" t="s">
        <v>110</v>
      </c>
      <c r="F30" s="25"/>
      <c r="G30" s="84" t="s">
        <v>109</v>
      </c>
      <c r="H30" s="84" t="s">
        <v>110</v>
      </c>
      <c r="I30" s="25"/>
      <c r="J30" s="25"/>
      <c r="K30" s="25"/>
      <c r="L30" s="25"/>
      <c r="M30" s="25"/>
      <c r="N30" s="25"/>
      <c r="O30" s="85" t="s">
        <v>111</v>
      </c>
      <c r="P30" s="84" t="s">
        <v>112</v>
      </c>
      <c r="Q30" s="25"/>
      <c r="R30" s="25"/>
      <c r="S30" s="84" t="s">
        <v>96</v>
      </c>
      <c r="T30" s="84" t="s">
        <v>110</v>
      </c>
      <c r="U30" s="84" t="s">
        <v>113</v>
      </c>
      <c r="V30" s="84" t="s">
        <v>114</v>
      </c>
      <c r="W30" s="86"/>
      <c r="X30" s="87"/>
      <c r="Y30" s="25"/>
      <c r="Z30" s="25"/>
      <c r="AA30" s="25"/>
      <c r="AB30" s="25"/>
      <c r="AC30" s="25"/>
      <c r="AD30" s="25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</row>
    <row r="31" ht="36.0" hidden="1" customHeight="1">
      <c r="A31" s="95">
        <v>1.0</v>
      </c>
      <c r="B31" s="172">
        <f t="shared" ref="B31:B35" si="10">$F$28</f>
        <v>46271</v>
      </c>
      <c r="C31" s="94" t="s">
        <v>115</v>
      </c>
      <c r="D31" s="95"/>
      <c r="E31" s="95"/>
      <c r="F31" s="97">
        <v>782.0</v>
      </c>
      <c r="G31" s="95"/>
      <c r="H31" s="95"/>
      <c r="I31" s="97">
        <v>638.0</v>
      </c>
      <c r="J31" s="95"/>
      <c r="K31" s="95"/>
      <c r="L31" s="97">
        <v>1.9421642E7</v>
      </c>
      <c r="M31" s="95"/>
      <c r="N31" s="95"/>
      <c r="O31" s="95"/>
      <c r="P31" s="95"/>
      <c r="Q31" s="95"/>
      <c r="R31" s="95"/>
      <c r="S31" s="97"/>
      <c r="T31" s="97">
        <v>50.0</v>
      </c>
      <c r="U31" s="95"/>
      <c r="V31" s="95"/>
      <c r="W31" s="97">
        <v>190000.0</v>
      </c>
      <c r="X31" s="95"/>
      <c r="Y31" s="100">
        <f t="shared" ref="Y31:Y35" si="11">Y22+W31</f>
        <v>420000</v>
      </c>
      <c r="Z31" s="97">
        <v>5.3830567E7</v>
      </c>
      <c r="AA31" s="97">
        <v>2853340.0</v>
      </c>
      <c r="AB31" s="97">
        <v>86.0</v>
      </c>
      <c r="AC31" s="97">
        <v>11212.0</v>
      </c>
      <c r="AD31" s="101">
        <v>326817.0</v>
      </c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</row>
    <row r="32" ht="36.0" hidden="1" customHeight="1">
      <c r="A32" s="95">
        <v>2.0</v>
      </c>
      <c r="B32" s="172">
        <f t="shared" si="10"/>
        <v>46271</v>
      </c>
      <c r="C32" s="94" t="s">
        <v>119</v>
      </c>
      <c r="D32" s="95"/>
      <c r="E32" s="95"/>
      <c r="F32" s="97">
        <v>896.0</v>
      </c>
      <c r="G32" s="95"/>
      <c r="H32" s="95"/>
      <c r="I32" s="97">
        <v>740.0</v>
      </c>
      <c r="J32" s="95"/>
      <c r="K32" s="95"/>
      <c r="L32" s="97">
        <v>1.6054714E7</v>
      </c>
      <c r="M32" s="95"/>
      <c r="N32" s="95"/>
      <c r="O32" s="95"/>
      <c r="P32" s="95"/>
      <c r="Q32" s="95"/>
      <c r="R32" s="95"/>
      <c r="S32" s="97"/>
      <c r="T32" s="97">
        <v>43.0</v>
      </c>
      <c r="U32" s="95"/>
      <c r="V32" s="95"/>
      <c r="W32" s="97">
        <v>0.0</v>
      </c>
      <c r="X32" s="95"/>
      <c r="Y32" s="100">
        <f t="shared" si="11"/>
        <v>420000</v>
      </c>
      <c r="Z32" s="97">
        <v>5.1866437E7</v>
      </c>
      <c r="AA32" s="97">
        <v>2609685.0</v>
      </c>
      <c r="AB32" s="97">
        <v>96.0</v>
      </c>
      <c r="AC32" s="97">
        <v>223.0</v>
      </c>
      <c r="AD32" s="101">
        <v>462063.0</v>
      </c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</row>
    <row r="33" ht="36.0" hidden="1" customHeight="1">
      <c r="A33" s="95">
        <v>3.0</v>
      </c>
      <c r="B33" s="172">
        <f t="shared" si="10"/>
        <v>46271</v>
      </c>
      <c r="C33" s="94" t="s">
        <v>123</v>
      </c>
      <c r="D33" s="95">
        <v>2.0</v>
      </c>
      <c r="E33" s="95">
        <v>-2.0</v>
      </c>
      <c r="F33" s="97">
        <v>916.0</v>
      </c>
      <c r="G33" s="95"/>
      <c r="H33" s="95"/>
      <c r="I33" s="97">
        <v>755.0</v>
      </c>
      <c r="J33" s="95"/>
      <c r="K33" s="95"/>
      <c r="L33" s="97">
        <v>2.2867108E7</v>
      </c>
      <c r="M33" s="95"/>
      <c r="N33" s="95"/>
      <c r="O33" s="95"/>
      <c r="P33" s="95"/>
      <c r="Q33" s="95"/>
      <c r="R33" s="95"/>
      <c r="S33" s="97"/>
      <c r="T33" s="97">
        <v>152.0</v>
      </c>
      <c r="U33" s="95"/>
      <c r="V33" s="95"/>
      <c r="W33" s="97">
        <v>50000.0</v>
      </c>
      <c r="X33" s="95"/>
      <c r="Y33" s="100">
        <f t="shared" si="11"/>
        <v>1200000</v>
      </c>
      <c r="Z33" s="97">
        <v>6.7159771E7</v>
      </c>
      <c r="AA33" s="106">
        <v>2999963.0</v>
      </c>
      <c r="AB33" s="97">
        <v>89.0</v>
      </c>
      <c r="AC33" s="97">
        <v>210.0</v>
      </c>
      <c r="AD33" s="101">
        <v>1369129.0</v>
      </c>
      <c r="AE33" s="110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</row>
    <row r="34" ht="36.0" hidden="1" customHeight="1">
      <c r="A34" s="95">
        <v>4.0</v>
      </c>
      <c r="B34" s="172">
        <f t="shared" si="10"/>
        <v>46271</v>
      </c>
      <c r="C34" s="94" t="s">
        <v>128</v>
      </c>
      <c r="D34" s="95"/>
      <c r="E34" s="95"/>
      <c r="F34" s="97">
        <v>871.0</v>
      </c>
      <c r="G34" s="95"/>
      <c r="H34" s="95"/>
      <c r="I34" s="97">
        <v>679.0</v>
      </c>
      <c r="J34" s="95"/>
      <c r="K34" s="95"/>
      <c r="L34" s="108">
        <v>1.540446E7</v>
      </c>
      <c r="M34" s="95"/>
      <c r="N34" s="95"/>
      <c r="O34" s="95"/>
      <c r="P34" s="95"/>
      <c r="Q34" s="95"/>
      <c r="R34" s="95"/>
      <c r="S34" s="97"/>
      <c r="T34" s="97">
        <v>63.0</v>
      </c>
      <c r="U34" s="95"/>
      <c r="V34" s="95"/>
      <c r="W34" s="97">
        <v>0.0</v>
      </c>
      <c r="X34" s="95"/>
      <c r="Y34" s="100">
        <f t="shared" si="11"/>
        <v>700000</v>
      </c>
      <c r="Z34" s="109">
        <v>5.1732879E7</v>
      </c>
      <c r="AA34" s="109">
        <v>2880866.0</v>
      </c>
      <c r="AB34" s="97">
        <v>100.0</v>
      </c>
      <c r="AC34" s="97">
        <v>60.0</v>
      </c>
      <c r="AD34" s="101">
        <v>423501.0</v>
      </c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</row>
    <row r="35" ht="29.25" hidden="1" customHeight="1">
      <c r="A35" s="95">
        <v>6.0</v>
      </c>
      <c r="B35" s="172">
        <f t="shared" si="10"/>
        <v>46271</v>
      </c>
      <c r="C35" s="113" t="s">
        <v>105</v>
      </c>
      <c r="D35" s="95"/>
      <c r="E35" s="95"/>
      <c r="F35" s="97">
        <v>860.0</v>
      </c>
      <c r="G35" s="95"/>
      <c r="H35" s="95"/>
      <c r="I35" s="115">
        <v>693.0</v>
      </c>
      <c r="J35" s="117"/>
      <c r="K35" s="117"/>
      <c r="L35" s="109">
        <v>1.7254606E7</v>
      </c>
      <c r="M35" s="95"/>
      <c r="N35" s="95"/>
      <c r="O35" s="95"/>
      <c r="P35" s="95"/>
      <c r="Q35" s="95"/>
      <c r="R35" s="95"/>
      <c r="S35" s="97"/>
      <c r="T35" s="97">
        <v>45.0</v>
      </c>
      <c r="U35" s="95"/>
      <c r="V35" s="95"/>
      <c r="W35" s="97">
        <v>0.0</v>
      </c>
      <c r="X35" s="95"/>
      <c r="Y35" s="100">
        <f t="shared" si="11"/>
        <v>540000</v>
      </c>
      <c r="Z35" s="109">
        <v>6.0236746E7</v>
      </c>
      <c r="AA35" s="109">
        <v>2963751.0</v>
      </c>
      <c r="AB35" s="97">
        <v>100.0</v>
      </c>
      <c r="AC35" s="97">
        <v>20.0</v>
      </c>
      <c r="AD35" s="101">
        <v>886238.0</v>
      </c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</row>
    <row r="36" ht="18.75" hidden="1" customHeight="1">
      <c r="A36" s="120" t="s">
        <v>96</v>
      </c>
      <c r="B36" s="14"/>
      <c r="C36" s="15"/>
      <c r="D36" s="121">
        <f t="shared" ref="D36:AD36" si="12">SUM(D31:D35)</f>
        <v>2</v>
      </c>
      <c r="E36" s="121">
        <f t="shared" si="12"/>
        <v>-2</v>
      </c>
      <c r="F36" s="121">
        <f t="shared" si="12"/>
        <v>4325</v>
      </c>
      <c r="G36" s="121">
        <f t="shared" si="12"/>
        <v>0</v>
      </c>
      <c r="H36" s="121">
        <f t="shared" si="12"/>
        <v>0</v>
      </c>
      <c r="I36" s="121">
        <f t="shared" si="12"/>
        <v>3505</v>
      </c>
      <c r="J36" s="121">
        <f t="shared" si="12"/>
        <v>0</v>
      </c>
      <c r="K36" s="121">
        <f t="shared" si="12"/>
        <v>0</v>
      </c>
      <c r="L36" s="121">
        <f t="shared" si="12"/>
        <v>91002530</v>
      </c>
      <c r="M36" s="121">
        <f t="shared" si="12"/>
        <v>0</v>
      </c>
      <c r="N36" s="121">
        <f t="shared" si="12"/>
        <v>0</v>
      </c>
      <c r="O36" s="121">
        <f t="shared" si="12"/>
        <v>0</v>
      </c>
      <c r="P36" s="121">
        <f t="shared" si="12"/>
        <v>0</v>
      </c>
      <c r="Q36" s="121">
        <f t="shared" si="12"/>
        <v>0</v>
      </c>
      <c r="R36" s="121">
        <f t="shared" si="12"/>
        <v>0</v>
      </c>
      <c r="S36" s="121">
        <f t="shared" si="12"/>
        <v>0</v>
      </c>
      <c r="T36" s="121">
        <f t="shared" si="12"/>
        <v>353</v>
      </c>
      <c r="U36" s="121">
        <f t="shared" si="12"/>
        <v>0</v>
      </c>
      <c r="V36" s="121">
        <f t="shared" si="12"/>
        <v>0</v>
      </c>
      <c r="W36" s="121">
        <f t="shared" si="12"/>
        <v>240000</v>
      </c>
      <c r="X36" s="121">
        <f t="shared" si="12"/>
        <v>0</v>
      </c>
      <c r="Y36" s="121">
        <f t="shared" si="12"/>
        <v>3280000</v>
      </c>
      <c r="Z36" s="121">
        <f t="shared" si="12"/>
        <v>284826400</v>
      </c>
      <c r="AA36" s="121">
        <f t="shared" si="12"/>
        <v>14307605</v>
      </c>
      <c r="AB36" s="121">
        <f t="shared" si="12"/>
        <v>471</v>
      </c>
      <c r="AC36" s="121">
        <f t="shared" si="12"/>
        <v>11725</v>
      </c>
      <c r="AD36" s="121">
        <f t="shared" si="12"/>
        <v>3467748</v>
      </c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</row>
    <row r="37" ht="20.25" hidden="1" customHeight="1">
      <c r="A37" s="38"/>
      <c r="B37" s="38"/>
      <c r="C37" s="38" t="s">
        <v>50</v>
      </c>
      <c r="F37" s="133">
        <f>F28+1</f>
        <v>46272</v>
      </c>
      <c r="G37" s="23"/>
      <c r="H37" s="23"/>
      <c r="I37" s="23"/>
      <c r="K37" s="50">
        <f>F37</f>
        <v>46272</v>
      </c>
      <c r="L37" s="23"/>
      <c r="M37" s="23"/>
      <c r="N37" s="23"/>
      <c r="O37" s="23"/>
      <c r="P37" s="23"/>
      <c r="Q37" s="23"/>
      <c r="R37" s="23"/>
      <c r="S37" s="23"/>
      <c r="T37" s="23"/>
      <c r="W37" s="54"/>
      <c r="X37" s="54"/>
      <c r="Y37" s="54"/>
      <c r="Z37" s="54"/>
      <c r="AA37" s="56"/>
      <c r="AB37" s="54"/>
      <c r="AC37" s="54"/>
      <c r="AD37" s="54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</row>
    <row r="38" ht="15.75" hidden="1" customHeight="1">
      <c r="A38" s="60" t="s">
        <v>74</v>
      </c>
      <c r="B38" s="63" t="s">
        <v>78</v>
      </c>
      <c r="C38" s="65" t="s">
        <v>53</v>
      </c>
      <c r="D38" s="66" t="s">
        <v>58</v>
      </c>
      <c r="E38" s="15"/>
      <c r="F38" s="68" t="s">
        <v>81</v>
      </c>
      <c r="G38" s="70" t="s">
        <v>82</v>
      </c>
      <c r="H38" s="15"/>
      <c r="I38" s="68" t="s">
        <v>84</v>
      </c>
      <c r="J38" s="68" t="s">
        <v>85</v>
      </c>
      <c r="K38" s="68" t="s">
        <v>86</v>
      </c>
      <c r="L38" s="68" t="s">
        <v>66</v>
      </c>
      <c r="M38" s="68" t="s">
        <v>88</v>
      </c>
      <c r="N38" s="68" t="s">
        <v>89</v>
      </c>
      <c r="O38" s="72" t="s">
        <v>90</v>
      </c>
      <c r="P38" s="15"/>
      <c r="Q38" s="68" t="s">
        <v>92</v>
      </c>
      <c r="R38" s="68" t="s">
        <v>93</v>
      </c>
      <c r="S38" s="76" t="s">
        <v>147</v>
      </c>
      <c r="T38" s="77"/>
      <c r="U38" s="70" t="s">
        <v>95</v>
      </c>
      <c r="V38" s="15"/>
      <c r="W38" s="76" t="s">
        <v>97</v>
      </c>
      <c r="X38" s="77"/>
      <c r="Y38" s="68" t="s">
        <v>102</v>
      </c>
      <c r="Z38" s="68" t="s">
        <v>103</v>
      </c>
      <c r="AA38" s="68" t="s">
        <v>104</v>
      </c>
      <c r="AB38" s="68" t="s">
        <v>106</v>
      </c>
      <c r="AC38" s="68" t="s">
        <v>107</v>
      </c>
      <c r="AD38" s="81" t="s">
        <v>108</v>
      </c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</row>
    <row r="39" ht="21.75" hidden="1" customHeight="1">
      <c r="A39" s="25"/>
      <c r="B39" s="25"/>
      <c r="C39" s="25"/>
      <c r="D39" s="84" t="s">
        <v>109</v>
      </c>
      <c r="E39" s="84" t="s">
        <v>110</v>
      </c>
      <c r="F39" s="25"/>
      <c r="G39" s="84" t="s">
        <v>109</v>
      </c>
      <c r="H39" s="84" t="s">
        <v>110</v>
      </c>
      <c r="I39" s="25"/>
      <c r="J39" s="25"/>
      <c r="K39" s="25"/>
      <c r="L39" s="25"/>
      <c r="M39" s="25"/>
      <c r="N39" s="25"/>
      <c r="O39" s="85" t="s">
        <v>111</v>
      </c>
      <c r="P39" s="84" t="s">
        <v>112</v>
      </c>
      <c r="Q39" s="25"/>
      <c r="R39" s="25"/>
      <c r="S39" s="86"/>
      <c r="T39" s="87"/>
      <c r="U39" s="84" t="s">
        <v>113</v>
      </c>
      <c r="V39" s="84" t="s">
        <v>114</v>
      </c>
      <c r="W39" s="86"/>
      <c r="X39" s="87"/>
      <c r="Y39" s="25"/>
      <c r="Z39" s="25"/>
      <c r="AA39" s="25"/>
      <c r="AB39" s="25"/>
      <c r="AC39" s="25"/>
      <c r="AD39" s="25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</row>
    <row r="40" ht="29.25" hidden="1" customHeight="1">
      <c r="A40" s="90">
        <v>1.0</v>
      </c>
      <c r="B40" s="93">
        <f t="shared" ref="B40:B44" si="13">$F$37</f>
        <v>46272</v>
      </c>
      <c r="C40" s="94" t="s">
        <v>115</v>
      </c>
      <c r="D40" s="95"/>
      <c r="E40" s="95"/>
      <c r="F40" s="97">
        <v>780.0</v>
      </c>
      <c r="G40" s="95"/>
      <c r="H40" s="95"/>
      <c r="I40" s="97">
        <v>635.0</v>
      </c>
      <c r="J40" s="95"/>
      <c r="K40" s="95"/>
      <c r="L40" s="97">
        <v>1.9469994E7</v>
      </c>
      <c r="M40" s="95"/>
      <c r="N40" s="95"/>
      <c r="O40" s="95"/>
      <c r="P40" s="95"/>
      <c r="Q40" s="95"/>
      <c r="R40" s="95"/>
      <c r="S40" s="97"/>
      <c r="T40" s="97">
        <v>86.0</v>
      </c>
      <c r="U40" s="95"/>
      <c r="V40" s="95"/>
      <c r="W40" s="97">
        <v>50000.0</v>
      </c>
      <c r="X40" s="95"/>
      <c r="Y40" s="100">
        <f t="shared" ref="Y40:Y44" si="14">Y31+W40</f>
        <v>470000</v>
      </c>
      <c r="Z40" s="97">
        <v>5.3491829E7</v>
      </c>
      <c r="AA40" s="97">
        <v>2991094.0</v>
      </c>
      <c r="AB40" s="97">
        <v>89.0</v>
      </c>
      <c r="AC40" s="97">
        <v>10.0</v>
      </c>
      <c r="AD40" s="101">
        <v>760822.0</v>
      </c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</row>
    <row r="41" ht="29.25" hidden="1" customHeight="1">
      <c r="A41" s="90">
        <v>2.0</v>
      </c>
      <c r="B41" s="93">
        <f t="shared" si="13"/>
        <v>46272</v>
      </c>
      <c r="C41" s="94" t="s">
        <v>119</v>
      </c>
      <c r="D41" s="95"/>
      <c r="E41" s="95"/>
      <c r="F41" s="97">
        <v>900.0</v>
      </c>
      <c r="G41" s="95"/>
      <c r="H41" s="95"/>
      <c r="I41" s="97">
        <v>740.0</v>
      </c>
      <c r="J41" s="95"/>
      <c r="K41" s="95"/>
      <c r="L41" s="97">
        <v>1.6107706E7</v>
      </c>
      <c r="M41" s="95"/>
      <c r="N41" s="95"/>
      <c r="O41" s="95"/>
      <c r="P41" s="95"/>
      <c r="Q41" s="95"/>
      <c r="R41" s="95"/>
      <c r="S41" s="97"/>
      <c r="T41" s="97">
        <v>65.0</v>
      </c>
      <c r="U41" s="95"/>
      <c r="V41" s="95"/>
      <c r="W41" s="97">
        <v>300000.0</v>
      </c>
      <c r="X41" s="95"/>
      <c r="Y41" s="100">
        <f t="shared" si="14"/>
        <v>720000</v>
      </c>
      <c r="Z41" s="97">
        <v>5.1944654E7</v>
      </c>
      <c r="AA41" s="97">
        <v>2254589.0</v>
      </c>
      <c r="AB41" s="97">
        <v>96.0</v>
      </c>
      <c r="AC41" s="97">
        <v>96.0</v>
      </c>
      <c r="AD41" s="101">
        <v>475123.0</v>
      </c>
      <c r="AE41" s="102"/>
      <c r="AF41" s="97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</row>
    <row r="42" ht="29.25" hidden="1" customHeight="1">
      <c r="A42" s="90">
        <v>3.0</v>
      </c>
      <c r="B42" s="93">
        <f t="shared" si="13"/>
        <v>46272</v>
      </c>
      <c r="C42" s="94" t="s">
        <v>123</v>
      </c>
      <c r="D42" s="95"/>
      <c r="E42" s="95"/>
      <c r="F42" s="97">
        <v>916.0</v>
      </c>
      <c r="G42" s="95"/>
      <c r="H42" s="95"/>
      <c r="I42" s="97">
        <v>752.0</v>
      </c>
      <c r="J42" s="95"/>
      <c r="K42" s="95"/>
      <c r="L42" s="97">
        <v>2.2864109E7</v>
      </c>
      <c r="M42" s="95"/>
      <c r="N42" s="95"/>
      <c r="O42" s="95"/>
      <c r="P42" s="95"/>
      <c r="Q42" s="95"/>
      <c r="R42" s="95"/>
      <c r="S42" s="97"/>
      <c r="T42" s="97">
        <v>193.0</v>
      </c>
      <c r="U42" s="95"/>
      <c r="V42" s="95"/>
      <c r="W42" s="97">
        <v>30000.0</v>
      </c>
      <c r="X42" s="95"/>
      <c r="Y42" s="100">
        <f t="shared" si="14"/>
        <v>1230000</v>
      </c>
      <c r="Z42" s="97">
        <v>6.6620906E7</v>
      </c>
      <c r="AA42" s="106">
        <v>3196861.0</v>
      </c>
      <c r="AB42" s="97">
        <v>87.0</v>
      </c>
      <c r="AC42" s="97">
        <v>296.0</v>
      </c>
      <c r="AD42" s="101">
        <v>1963721.0</v>
      </c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</row>
    <row r="43" ht="29.25" hidden="1" customHeight="1">
      <c r="A43" s="90">
        <v>4.0</v>
      </c>
      <c r="B43" s="93">
        <f t="shared" si="13"/>
        <v>46272</v>
      </c>
      <c r="C43" s="94" t="s">
        <v>128</v>
      </c>
      <c r="D43" s="95"/>
      <c r="E43" s="95"/>
      <c r="F43" s="97">
        <v>872.0</v>
      </c>
      <c r="G43" s="95"/>
      <c r="H43" s="95"/>
      <c r="I43" s="97">
        <v>680.0</v>
      </c>
      <c r="J43" s="95"/>
      <c r="K43" s="95"/>
      <c r="L43" s="108">
        <v>1.5401122E7</v>
      </c>
      <c r="M43" s="95"/>
      <c r="N43" s="95"/>
      <c r="O43" s="95"/>
      <c r="P43" s="95"/>
      <c r="Q43" s="95"/>
      <c r="R43" s="95"/>
      <c r="S43" s="97"/>
      <c r="T43" s="97">
        <v>89.0</v>
      </c>
      <c r="U43" s="95"/>
      <c r="V43" s="95"/>
      <c r="W43" s="97">
        <v>430000.0</v>
      </c>
      <c r="X43" s="95"/>
      <c r="Y43" s="100">
        <f t="shared" si="14"/>
        <v>1130000</v>
      </c>
      <c r="Z43" s="109">
        <v>5.137948E7</v>
      </c>
      <c r="AA43" s="109">
        <v>3106150.0</v>
      </c>
      <c r="AB43" s="97">
        <v>85.0</v>
      </c>
      <c r="AC43" s="97">
        <v>165.0</v>
      </c>
      <c r="AD43" s="101">
        <v>832321.0</v>
      </c>
      <c r="AE43" s="110"/>
      <c r="AF43" s="102"/>
      <c r="AG43" s="102"/>
      <c r="AH43" s="173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</row>
    <row r="44" ht="29.25" hidden="1" customHeight="1">
      <c r="A44" s="90">
        <v>6.0</v>
      </c>
      <c r="B44" s="93">
        <f t="shared" si="13"/>
        <v>46272</v>
      </c>
      <c r="C44" s="113" t="s">
        <v>105</v>
      </c>
      <c r="D44" s="95"/>
      <c r="E44" s="95"/>
      <c r="F44" s="97">
        <v>861.0</v>
      </c>
      <c r="G44" s="95"/>
      <c r="H44" s="95"/>
      <c r="I44" s="115">
        <v>688.0</v>
      </c>
      <c r="J44" s="117"/>
      <c r="K44" s="117"/>
      <c r="L44" s="109">
        <v>1.732273E7</v>
      </c>
      <c r="M44" s="95"/>
      <c r="N44" s="95"/>
      <c r="O44" s="95"/>
      <c r="P44" s="95"/>
      <c r="Q44" s="95"/>
      <c r="R44" s="95"/>
      <c r="S44" s="97"/>
      <c r="T44" s="97">
        <v>67.0</v>
      </c>
      <c r="U44" s="95"/>
      <c r="V44" s="95"/>
      <c r="W44" s="97">
        <v>100000.0</v>
      </c>
      <c r="X44" s="95"/>
      <c r="Y44" s="100">
        <f t="shared" si="14"/>
        <v>640000</v>
      </c>
      <c r="Z44" s="109">
        <v>6.0108613E7</v>
      </c>
      <c r="AA44" s="109">
        <v>3047366.0</v>
      </c>
      <c r="AB44" s="97">
        <v>89.0</v>
      </c>
      <c r="AC44" s="97">
        <v>16.0</v>
      </c>
      <c r="AD44" s="101">
        <v>1121068.0</v>
      </c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</row>
    <row r="45" ht="18.0" hidden="1" customHeight="1">
      <c r="A45" s="174" t="s">
        <v>96</v>
      </c>
      <c r="B45" s="14"/>
      <c r="C45" s="15"/>
      <c r="D45" s="121">
        <f t="shared" ref="D45:AD45" si="15">SUM(D40:D44)</f>
        <v>0</v>
      </c>
      <c r="E45" s="121">
        <f t="shared" si="15"/>
        <v>0</v>
      </c>
      <c r="F45" s="121">
        <f t="shared" si="15"/>
        <v>4329</v>
      </c>
      <c r="G45" s="121">
        <f t="shared" si="15"/>
        <v>0</v>
      </c>
      <c r="H45" s="121">
        <f t="shared" si="15"/>
        <v>0</v>
      </c>
      <c r="I45" s="121">
        <f t="shared" si="15"/>
        <v>3495</v>
      </c>
      <c r="J45" s="121">
        <f t="shared" si="15"/>
        <v>0</v>
      </c>
      <c r="K45" s="121">
        <f t="shared" si="15"/>
        <v>0</v>
      </c>
      <c r="L45" s="121">
        <f t="shared" si="15"/>
        <v>91165661</v>
      </c>
      <c r="M45" s="121">
        <f t="shared" si="15"/>
        <v>0</v>
      </c>
      <c r="N45" s="121">
        <f t="shared" si="15"/>
        <v>0</v>
      </c>
      <c r="O45" s="121">
        <f t="shared" si="15"/>
        <v>0</v>
      </c>
      <c r="P45" s="121">
        <f t="shared" si="15"/>
        <v>0</v>
      </c>
      <c r="Q45" s="121">
        <f t="shared" si="15"/>
        <v>0</v>
      </c>
      <c r="R45" s="121">
        <f t="shared" si="15"/>
        <v>0</v>
      </c>
      <c r="S45" s="121">
        <f t="shared" si="15"/>
        <v>0</v>
      </c>
      <c r="T45" s="121">
        <f t="shared" si="15"/>
        <v>500</v>
      </c>
      <c r="U45" s="121">
        <f t="shared" si="15"/>
        <v>0</v>
      </c>
      <c r="V45" s="121">
        <f t="shared" si="15"/>
        <v>0</v>
      </c>
      <c r="W45" s="121">
        <f t="shared" si="15"/>
        <v>910000</v>
      </c>
      <c r="X45" s="121">
        <f t="shared" si="15"/>
        <v>0</v>
      </c>
      <c r="Y45" s="121">
        <f t="shared" si="15"/>
        <v>4190000</v>
      </c>
      <c r="Z45" s="121">
        <f t="shared" si="15"/>
        <v>283545482</v>
      </c>
      <c r="AA45" s="121">
        <f t="shared" si="15"/>
        <v>14596060</v>
      </c>
      <c r="AB45" s="121">
        <f t="shared" si="15"/>
        <v>446</v>
      </c>
      <c r="AC45" s="121">
        <f t="shared" si="15"/>
        <v>583</v>
      </c>
      <c r="AD45" s="121">
        <f t="shared" si="15"/>
        <v>5153055</v>
      </c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</row>
    <row r="46" ht="15.75" hidden="1" customHeight="1">
      <c r="A46" s="38"/>
      <c r="B46" s="38"/>
      <c r="C46" s="38" t="s">
        <v>50</v>
      </c>
      <c r="F46" s="133">
        <f>F37+1</f>
        <v>46273</v>
      </c>
      <c r="G46" s="23"/>
      <c r="H46" s="23"/>
      <c r="I46" s="23"/>
      <c r="K46" s="50">
        <f>F46</f>
        <v>46273</v>
      </c>
      <c r="L46" s="23"/>
      <c r="M46" s="23"/>
      <c r="N46" s="23"/>
      <c r="O46" s="23"/>
      <c r="P46" s="23"/>
      <c r="Q46" s="23"/>
      <c r="R46" s="23"/>
      <c r="S46" s="23"/>
      <c r="T46" s="23"/>
      <c r="W46" s="54"/>
      <c r="X46" s="54"/>
      <c r="Y46" s="54"/>
      <c r="Z46" s="54"/>
      <c r="AA46" s="56"/>
      <c r="AB46" s="54"/>
      <c r="AC46" s="54"/>
      <c r="AD46" s="54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</row>
    <row r="47" ht="15.75" hidden="1" customHeight="1">
      <c r="A47" s="60" t="s">
        <v>74</v>
      </c>
      <c r="B47" s="63" t="s">
        <v>78</v>
      </c>
      <c r="C47" s="65" t="s">
        <v>53</v>
      </c>
      <c r="D47" s="66" t="s">
        <v>58</v>
      </c>
      <c r="E47" s="15"/>
      <c r="F47" s="68" t="s">
        <v>81</v>
      </c>
      <c r="G47" s="70" t="s">
        <v>82</v>
      </c>
      <c r="H47" s="15"/>
      <c r="I47" s="68" t="s">
        <v>84</v>
      </c>
      <c r="J47" s="68" t="s">
        <v>85</v>
      </c>
      <c r="K47" s="68" t="s">
        <v>86</v>
      </c>
      <c r="L47" s="68" t="s">
        <v>66</v>
      </c>
      <c r="M47" s="68" t="s">
        <v>88</v>
      </c>
      <c r="N47" s="68" t="s">
        <v>89</v>
      </c>
      <c r="O47" s="72" t="s">
        <v>90</v>
      </c>
      <c r="P47" s="15"/>
      <c r="Q47" s="68" t="s">
        <v>92</v>
      </c>
      <c r="R47" s="68" t="s">
        <v>93</v>
      </c>
      <c r="S47" s="76" t="s">
        <v>147</v>
      </c>
      <c r="T47" s="77"/>
      <c r="U47" s="70" t="s">
        <v>95</v>
      </c>
      <c r="V47" s="15"/>
      <c r="W47" s="76" t="s">
        <v>97</v>
      </c>
      <c r="X47" s="77"/>
      <c r="Y47" s="68" t="s">
        <v>102</v>
      </c>
      <c r="Z47" s="68" t="s">
        <v>103</v>
      </c>
      <c r="AA47" s="68" t="s">
        <v>104</v>
      </c>
      <c r="AB47" s="68" t="s">
        <v>106</v>
      </c>
      <c r="AC47" s="68" t="s">
        <v>107</v>
      </c>
      <c r="AD47" s="81" t="s">
        <v>108</v>
      </c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</row>
    <row r="48" ht="24.0" hidden="1" customHeight="1">
      <c r="A48" s="25"/>
      <c r="B48" s="25"/>
      <c r="C48" s="25"/>
      <c r="D48" s="84" t="s">
        <v>109</v>
      </c>
      <c r="E48" s="84" t="s">
        <v>110</v>
      </c>
      <c r="F48" s="25"/>
      <c r="G48" s="84" t="s">
        <v>109</v>
      </c>
      <c r="H48" s="84" t="s">
        <v>110</v>
      </c>
      <c r="I48" s="25"/>
      <c r="J48" s="25"/>
      <c r="K48" s="25"/>
      <c r="L48" s="25"/>
      <c r="M48" s="25"/>
      <c r="N48" s="25"/>
      <c r="O48" s="85" t="s">
        <v>111</v>
      </c>
      <c r="P48" s="84" t="s">
        <v>112</v>
      </c>
      <c r="Q48" s="25"/>
      <c r="R48" s="25"/>
      <c r="S48" s="86"/>
      <c r="T48" s="87"/>
      <c r="U48" s="84" t="s">
        <v>113</v>
      </c>
      <c r="V48" s="84" t="s">
        <v>114</v>
      </c>
      <c r="W48" s="86"/>
      <c r="X48" s="87"/>
      <c r="Y48" s="25"/>
      <c r="Z48" s="25"/>
      <c r="AA48" s="25"/>
      <c r="AB48" s="25"/>
      <c r="AC48" s="25"/>
      <c r="AD48" s="25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</row>
    <row r="49" ht="30.0" hidden="1" customHeight="1">
      <c r="A49" s="90">
        <v>1.0</v>
      </c>
      <c r="B49" s="93">
        <f t="shared" ref="B49:B53" si="16">$F$46</f>
        <v>46273</v>
      </c>
      <c r="C49" s="94" t="s">
        <v>115</v>
      </c>
      <c r="D49" s="95"/>
      <c r="E49" s="95"/>
      <c r="F49" s="97">
        <v>780.0</v>
      </c>
      <c r="G49" s="95"/>
      <c r="H49" s="95"/>
      <c r="I49" s="97">
        <v>634.0</v>
      </c>
      <c r="J49" s="95"/>
      <c r="K49" s="95"/>
      <c r="L49" s="97">
        <v>1.9530641E7</v>
      </c>
      <c r="M49" s="95"/>
      <c r="N49" s="95"/>
      <c r="O49" s="95"/>
      <c r="P49" s="95"/>
      <c r="Q49" s="95"/>
      <c r="R49" s="95"/>
      <c r="S49" s="97"/>
      <c r="T49" s="97">
        <v>125.0</v>
      </c>
      <c r="U49" s="95"/>
      <c r="V49" s="95"/>
      <c r="W49" s="97">
        <v>0.0</v>
      </c>
      <c r="X49" s="95"/>
      <c r="Y49" s="100">
        <f t="shared" ref="Y49:Y53" si="17">Y40+W49</f>
        <v>470000</v>
      </c>
      <c r="Z49" s="97">
        <v>5.3070204E7</v>
      </c>
      <c r="AA49" s="97">
        <v>3136098.0</v>
      </c>
      <c r="AB49" s="97">
        <v>81.0</v>
      </c>
      <c r="AC49" s="97">
        <v>10.0</v>
      </c>
      <c r="AD49" s="101">
        <v>1303479.0</v>
      </c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</row>
    <row r="50" ht="30.0" hidden="1" customHeight="1">
      <c r="A50" s="90">
        <v>2.0</v>
      </c>
      <c r="B50" s="93">
        <f t="shared" si="16"/>
        <v>46273</v>
      </c>
      <c r="C50" s="94" t="s">
        <v>119</v>
      </c>
      <c r="D50" s="95"/>
      <c r="E50" s="95"/>
      <c r="F50" s="97">
        <v>902.0</v>
      </c>
      <c r="G50" s="95"/>
      <c r="H50" s="95"/>
      <c r="I50" s="97">
        <v>738.0</v>
      </c>
      <c r="J50" s="95"/>
      <c r="K50" s="95"/>
      <c r="L50" s="97">
        <v>1.6170018E7</v>
      </c>
      <c r="M50" s="95"/>
      <c r="N50" s="95"/>
      <c r="O50" s="95"/>
      <c r="P50" s="95"/>
      <c r="Q50" s="95"/>
      <c r="R50" s="95"/>
      <c r="S50" s="97"/>
      <c r="T50" s="97">
        <v>90.0</v>
      </c>
      <c r="U50" s="95"/>
      <c r="V50" s="95"/>
      <c r="W50" s="97">
        <v>150000.0</v>
      </c>
      <c r="X50" s="95"/>
      <c r="Y50" s="100">
        <f t="shared" si="17"/>
        <v>870000</v>
      </c>
      <c r="Z50" s="97">
        <v>5.1782718E7</v>
      </c>
      <c r="AA50" s="97">
        <v>2818502.0</v>
      </c>
      <c r="AB50" s="97">
        <v>91.0</v>
      </c>
      <c r="AC50" s="97">
        <v>2356.0</v>
      </c>
      <c r="AD50" s="101">
        <v>743613.0</v>
      </c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</row>
    <row r="51" ht="30.0" hidden="1" customHeight="1">
      <c r="A51" s="90">
        <v>3.0</v>
      </c>
      <c r="B51" s="93">
        <f t="shared" si="16"/>
        <v>46273</v>
      </c>
      <c r="C51" s="94" t="s">
        <v>123</v>
      </c>
      <c r="D51" s="95"/>
      <c r="E51" s="95"/>
      <c r="F51" s="97">
        <v>918.0</v>
      </c>
      <c r="G51" s="95"/>
      <c r="H51" s="95"/>
      <c r="I51" s="97">
        <v>757.0</v>
      </c>
      <c r="J51" s="95"/>
      <c r="K51" s="95"/>
      <c r="L51" s="97">
        <v>2.2866034E7</v>
      </c>
      <c r="M51" s="95"/>
      <c r="N51" s="95"/>
      <c r="O51" s="95"/>
      <c r="P51" s="95"/>
      <c r="Q51" s="95"/>
      <c r="R51" s="95"/>
      <c r="S51" s="97"/>
      <c r="T51" s="97">
        <v>229.0</v>
      </c>
      <c r="U51" s="95"/>
      <c r="V51" s="95"/>
      <c r="W51" s="97">
        <v>740000.0</v>
      </c>
      <c r="X51" s="95"/>
      <c r="Y51" s="100">
        <f t="shared" si="17"/>
        <v>1970000</v>
      </c>
      <c r="Z51" s="97">
        <v>6.705082E7</v>
      </c>
      <c r="AA51" s="106">
        <v>3470295.0</v>
      </c>
      <c r="AB51" s="97">
        <v>83.0</v>
      </c>
      <c r="AC51" s="97">
        <v>0.0</v>
      </c>
      <c r="AD51" s="101">
        <v>1583931.0</v>
      </c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</row>
    <row r="52" ht="30.0" hidden="1" customHeight="1">
      <c r="A52" s="90">
        <v>4.0</v>
      </c>
      <c r="B52" s="93">
        <f t="shared" si="16"/>
        <v>46273</v>
      </c>
      <c r="C52" s="94" t="s">
        <v>128</v>
      </c>
      <c r="D52" s="95"/>
      <c r="E52" s="95"/>
      <c r="F52" s="97">
        <v>872.0</v>
      </c>
      <c r="G52" s="95"/>
      <c r="H52" s="95"/>
      <c r="I52" s="97">
        <v>678.0</v>
      </c>
      <c r="J52" s="95"/>
      <c r="K52" s="95"/>
      <c r="L52" s="108">
        <v>1.5424441E7</v>
      </c>
      <c r="M52" s="95"/>
      <c r="N52" s="95"/>
      <c r="O52" s="95"/>
      <c r="P52" s="95"/>
      <c r="Q52" s="95"/>
      <c r="R52" s="95"/>
      <c r="S52" s="97"/>
      <c r="T52" s="97"/>
      <c r="U52" s="95"/>
      <c r="V52" s="95"/>
      <c r="W52" s="97">
        <v>240000.0</v>
      </c>
      <c r="X52" s="95"/>
      <c r="Y52" s="100">
        <f t="shared" si="17"/>
        <v>1370000</v>
      </c>
      <c r="Z52" s="109">
        <v>5.1417023E7</v>
      </c>
      <c r="AA52" s="109">
        <v>3334918.0</v>
      </c>
      <c r="AB52" s="97">
        <v>51.0</v>
      </c>
      <c r="AC52" s="97">
        <v>100.0</v>
      </c>
      <c r="AD52" s="101">
        <v>846641.0</v>
      </c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</row>
    <row r="53" ht="30.0" hidden="1" customHeight="1">
      <c r="A53" s="90">
        <v>-1.0</v>
      </c>
      <c r="B53" s="93">
        <f t="shared" si="16"/>
        <v>46273</v>
      </c>
      <c r="C53" s="113" t="s">
        <v>105</v>
      </c>
      <c r="D53" s="95"/>
      <c r="E53" s="95"/>
      <c r="F53" s="97">
        <v>856.0</v>
      </c>
      <c r="G53" s="95"/>
      <c r="H53" s="95"/>
      <c r="I53" s="115">
        <v>687.0</v>
      </c>
      <c r="J53" s="117"/>
      <c r="K53" s="117"/>
      <c r="L53" s="109">
        <v>1.7312871E7</v>
      </c>
      <c r="M53" s="95"/>
      <c r="N53" s="95"/>
      <c r="O53" s="95"/>
      <c r="P53" s="95"/>
      <c r="Q53" s="95"/>
      <c r="R53" s="95"/>
      <c r="S53" s="97"/>
      <c r="T53" s="97">
        <v>95.0</v>
      </c>
      <c r="U53" s="95"/>
      <c r="V53" s="95"/>
      <c r="W53" s="97">
        <v>430000.0</v>
      </c>
      <c r="X53" s="95"/>
      <c r="Y53" s="100">
        <f t="shared" si="17"/>
        <v>1070000</v>
      </c>
      <c r="Z53" s="109">
        <v>6.025184E7</v>
      </c>
      <c r="AA53" s="109">
        <v>2092447.0</v>
      </c>
      <c r="AB53" s="97">
        <v>100.0</v>
      </c>
      <c r="AC53" s="97">
        <v>64.0</v>
      </c>
      <c r="AD53" s="101">
        <v>1017608.0</v>
      </c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</row>
    <row r="54" ht="20.25" hidden="1" customHeight="1">
      <c r="A54" s="120" t="s">
        <v>96</v>
      </c>
      <c r="B54" s="14"/>
      <c r="C54" s="15"/>
      <c r="D54" s="121">
        <f t="shared" ref="D54:AD54" si="18">SUM(D49:D53)</f>
        <v>0</v>
      </c>
      <c r="E54" s="121">
        <f t="shared" si="18"/>
        <v>0</v>
      </c>
      <c r="F54" s="121">
        <f t="shared" si="18"/>
        <v>4328</v>
      </c>
      <c r="G54" s="121">
        <f t="shared" si="18"/>
        <v>0</v>
      </c>
      <c r="H54" s="121">
        <f t="shared" si="18"/>
        <v>0</v>
      </c>
      <c r="I54" s="121">
        <f t="shared" si="18"/>
        <v>3494</v>
      </c>
      <c r="J54" s="121">
        <f t="shared" si="18"/>
        <v>0</v>
      </c>
      <c r="K54" s="121">
        <f t="shared" si="18"/>
        <v>0</v>
      </c>
      <c r="L54" s="121">
        <f t="shared" si="18"/>
        <v>91304005</v>
      </c>
      <c r="M54" s="121">
        <f t="shared" si="18"/>
        <v>0</v>
      </c>
      <c r="N54" s="121">
        <f t="shared" si="18"/>
        <v>0</v>
      </c>
      <c r="O54" s="121">
        <f t="shared" si="18"/>
        <v>0</v>
      </c>
      <c r="P54" s="121">
        <f t="shared" si="18"/>
        <v>0</v>
      </c>
      <c r="Q54" s="121">
        <f t="shared" si="18"/>
        <v>0</v>
      </c>
      <c r="R54" s="121">
        <f t="shared" si="18"/>
        <v>0</v>
      </c>
      <c r="S54" s="121">
        <f t="shared" si="18"/>
        <v>0</v>
      </c>
      <c r="T54" s="121">
        <f t="shared" si="18"/>
        <v>539</v>
      </c>
      <c r="U54" s="121">
        <f t="shared" si="18"/>
        <v>0</v>
      </c>
      <c r="V54" s="121">
        <f t="shared" si="18"/>
        <v>0</v>
      </c>
      <c r="W54" s="121">
        <f t="shared" si="18"/>
        <v>1560000</v>
      </c>
      <c r="X54" s="121">
        <f t="shared" si="18"/>
        <v>0</v>
      </c>
      <c r="Y54" s="121">
        <f t="shared" si="18"/>
        <v>5750000</v>
      </c>
      <c r="Z54" s="121">
        <f t="shared" si="18"/>
        <v>283572605</v>
      </c>
      <c r="AA54" s="121">
        <f t="shared" si="18"/>
        <v>14852260</v>
      </c>
      <c r="AB54" s="121">
        <f t="shared" si="18"/>
        <v>406</v>
      </c>
      <c r="AC54" s="121">
        <f t="shared" si="18"/>
        <v>2530</v>
      </c>
      <c r="AD54" s="121">
        <f t="shared" si="18"/>
        <v>5495272</v>
      </c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</row>
    <row r="55" ht="15.75" hidden="1" customHeight="1">
      <c r="A55" s="38"/>
      <c r="B55" s="38"/>
      <c r="C55" s="38" t="s">
        <v>50</v>
      </c>
      <c r="F55" s="133">
        <f>F46+1</f>
        <v>46274</v>
      </c>
      <c r="G55" s="23"/>
      <c r="H55" s="23"/>
      <c r="I55" s="23"/>
      <c r="K55" s="50">
        <f>F55</f>
        <v>46274</v>
      </c>
      <c r="L55" s="23"/>
      <c r="M55" s="23"/>
      <c r="N55" s="23"/>
      <c r="O55" s="23"/>
      <c r="P55" s="23"/>
      <c r="Q55" s="23"/>
      <c r="R55" s="23"/>
      <c r="S55" s="23"/>
      <c r="T55" s="23"/>
      <c r="W55" s="54"/>
      <c r="X55" s="54"/>
      <c r="Y55" s="54"/>
      <c r="Z55" s="54"/>
      <c r="AA55" s="56"/>
      <c r="AB55" s="54"/>
      <c r="AC55" s="54"/>
      <c r="AD55" s="54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</row>
    <row r="56" ht="15.75" hidden="1" customHeight="1">
      <c r="A56" s="60" t="s">
        <v>74</v>
      </c>
      <c r="B56" s="63" t="s">
        <v>78</v>
      </c>
      <c r="C56" s="65" t="s">
        <v>53</v>
      </c>
      <c r="D56" s="66" t="s">
        <v>58</v>
      </c>
      <c r="E56" s="15"/>
      <c r="F56" s="68" t="s">
        <v>81</v>
      </c>
      <c r="G56" s="70" t="s">
        <v>82</v>
      </c>
      <c r="H56" s="15"/>
      <c r="I56" s="68" t="s">
        <v>84</v>
      </c>
      <c r="J56" s="68" t="s">
        <v>85</v>
      </c>
      <c r="K56" s="68" t="s">
        <v>86</v>
      </c>
      <c r="L56" s="68" t="s">
        <v>66</v>
      </c>
      <c r="M56" s="68" t="s">
        <v>88</v>
      </c>
      <c r="N56" s="68" t="s">
        <v>89</v>
      </c>
      <c r="O56" s="72" t="s">
        <v>90</v>
      </c>
      <c r="P56" s="15"/>
      <c r="Q56" s="68" t="s">
        <v>92</v>
      </c>
      <c r="R56" s="68" t="s">
        <v>93</v>
      </c>
      <c r="S56" s="76" t="s">
        <v>147</v>
      </c>
      <c r="T56" s="77"/>
      <c r="U56" s="70" t="s">
        <v>95</v>
      </c>
      <c r="V56" s="15"/>
      <c r="W56" s="76" t="s">
        <v>97</v>
      </c>
      <c r="X56" s="77"/>
      <c r="Y56" s="68" t="s">
        <v>102</v>
      </c>
      <c r="Z56" s="68" t="s">
        <v>103</v>
      </c>
      <c r="AA56" s="68" t="s">
        <v>104</v>
      </c>
      <c r="AB56" s="68" t="s">
        <v>106</v>
      </c>
      <c r="AC56" s="68" t="s">
        <v>107</v>
      </c>
      <c r="AD56" s="81" t="s">
        <v>108</v>
      </c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</row>
    <row r="57" ht="22.5" hidden="1" customHeight="1">
      <c r="A57" s="25"/>
      <c r="B57" s="25"/>
      <c r="C57" s="25"/>
      <c r="D57" s="84" t="s">
        <v>109</v>
      </c>
      <c r="E57" s="84" t="s">
        <v>110</v>
      </c>
      <c r="F57" s="25"/>
      <c r="G57" s="84" t="s">
        <v>109</v>
      </c>
      <c r="H57" s="84" t="s">
        <v>110</v>
      </c>
      <c r="I57" s="25"/>
      <c r="J57" s="25"/>
      <c r="K57" s="25"/>
      <c r="L57" s="25"/>
      <c r="M57" s="25"/>
      <c r="N57" s="25"/>
      <c r="O57" s="85" t="s">
        <v>111</v>
      </c>
      <c r="P57" s="84" t="s">
        <v>112</v>
      </c>
      <c r="Q57" s="25"/>
      <c r="R57" s="25"/>
      <c r="S57" s="86"/>
      <c r="T57" s="87"/>
      <c r="U57" s="84" t="s">
        <v>113</v>
      </c>
      <c r="V57" s="84" t="s">
        <v>114</v>
      </c>
      <c r="W57" s="86"/>
      <c r="X57" s="87"/>
      <c r="Y57" s="25"/>
      <c r="Z57" s="25"/>
      <c r="AA57" s="25"/>
      <c r="AB57" s="25"/>
      <c r="AC57" s="25"/>
      <c r="AD57" s="25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</row>
    <row r="58" ht="36.0" hidden="1" customHeight="1">
      <c r="A58" s="90">
        <v>1.0</v>
      </c>
      <c r="B58" s="93">
        <f t="shared" ref="B58:B62" si="19">$F$55</f>
        <v>46274</v>
      </c>
      <c r="C58" s="94" t="s">
        <v>115</v>
      </c>
      <c r="D58" s="95"/>
      <c r="E58" s="95"/>
      <c r="F58" s="97">
        <v>776.0</v>
      </c>
      <c r="G58" s="95"/>
      <c r="H58" s="95"/>
      <c r="I58" s="97">
        <v>634.0</v>
      </c>
      <c r="J58" s="95"/>
      <c r="K58" s="95"/>
      <c r="L58" s="97">
        <v>1.9545882E7</v>
      </c>
      <c r="M58" s="95"/>
      <c r="N58" s="95"/>
      <c r="O58" s="95"/>
      <c r="P58" s="95"/>
      <c r="Q58" s="95"/>
      <c r="R58" s="95"/>
      <c r="S58" s="97"/>
      <c r="T58" s="97">
        <v>158.0</v>
      </c>
      <c r="U58" s="95"/>
      <c r="V58" s="95"/>
      <c r="W58" s="97">
        <v>420000.0</v>
      </c>
      <c r="X58" s="95"/>
      <c r="Y58" s="100">
        <f t="shared" ref="Y58:Y62" si="20">Y49+W58</f>
        <v>890000</v>
      </c>
      <c r="Z58" s="97">
        <v>5.3206028E7</v>
      </c>
      <c r="AA58" s="97">
        <v>3264942.0</v>
      </c>
      <c r="AB58" s="97">
        <v>85.0</v>
      </c>
      <c r="AC58" s="97">
        <v>0.0</v>
      </c>
      <c r="AD58" s="101">
        <v>1222183.0</v>
      </c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</row>
    <row r="59" ht="36.0" hidden="1" customHeight="1">
      <c r="A59" s="90">
        <v>2.0</v>
      </c>
      <c r="B59" s="93">
        <f t="shared" si="19"/>
        <v>46274</v>
      </c>
      <c r="C59" s="94" t="s">
        <v>119</v>
      </c>
      <c r="D59" s="95"/>
      <c r="E59" s="95"/>
      <c r="F59" s="97">
        <v>900.0</v>
      </c>
      <c r="G59" s="95"/>
      <c r="H59" s="95"/>
      <c r="I59" s="97">
        <v>730.0</v>
      </c>
      <c r="J59" s="95"/>
      <c r="K59" s="95"/>
      <c r="L59" s="97">
        <v>1.6130742E7</v>
      </c>
      <c r="M59" s="95"/>
      <c r="N59" s="95"/>
      <c r="O59" s="95"/>
      <c r="P59" s="95"/>
      <c r="Q59" s="95"/>
      <c r="R59" s="95"/>
      <c r="S59" s="97"/>
      <c r="T59" s="97">
        <v>114.0</v>
      </c>
      <c r="U59" s="95"/>
      <c r="V59" s="95"/>
      <c r="W59" s="97">
        <v>440000.0</v>
      </c>
      <c r="X59" s="95"/>
      <c r="Y59" s="100">
        <f t="shared" si="20"/>
        <v>1310000</v>
      </c>
      <c r="Z59" s="97">
        <v>5.1918686E7</v>
      </c>
      <c r="AA59" s="97">
        <v>2907974.0</v>
      </c>
      <c r="AB59" s="97">
        <v>91.0</v>
      </c>
      <c r="AC59" s="97">
        <v>1381.0</v>
      </c>
      <c r="AD59" s="101">
        <v>611903.0</v>
      </c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</row>
    <row r="60" ht="36.0" hidden="1" customHeight="1">
      <c r="A60" s="90">
        <v>3.0</v>
      </c>
      <c r="B60" s="93">
        <f t="shared" si="19"/>
        <v>46274</v>
      </c>
      <c r="C60" s="94" t="s">
        <v>123</v>
      </c>
      <c r="D60" s="95"/>
      <c r="E60" s="95"/>
      <c r="F60" s="97">
        <v>918.0</v>
      </c>
      <c r="G60" s="95"/>
      <c r="H60" s="95"/>
      <c r="I60" s="97">
        <v>763.0</v>
      </c>
      <c r="J60" s="95"/>
      <c r="K60" s="95"/>
      <c r="L60" s="97">
        <v>2.2923125E7</v>
      </c>
      <c r="M60" s="95"/>
      <c r="N60" s="95"/>
      <c r="O60" s="95"/>
      <c r="P60" s="95"/>
      <c r="Q60" s="95"/>
      <c r="R60" s="95"/>
      <c r="S60" s="97"/>
      <c r="T60" s="97">
        <v>263.0</v>
      </c>
      <c r="U60" s="95"/>
      <c r="V60" s="95"/>
      <c r="W60" s="97">
        <v>960000.0</v>
      </c>
      <c r="X60" s="95"/>
      <c r="Y60" s="100">
        <f t="shared" si="20"/>
        <v>2930000</v>
      </c>
      <c r="Z60" s="97">
        <v>6.7693883E7</v>
      </c>
      <c r="AA60" s="106">
        <v>3612427.0</v>
      </c>
      <c r="AB60" s="97">
        <v>82.0</v>
      </c>
      <c r="AC60" s="97">
        <v>20.0</v>
      </c>
      <c r="AD60" s="101">
        <v>1052661.0</v>
      </c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</row>
    <row r="61" ht="36.0" hidden="1" customHeight="1">
      <c r="A61" s="90">
        <v>4.0</v>
      </c>
      <c r="B61" s="93">
        <f t="shared" si="19"/>
        <v>46274</v>
      </c>
      <c r="C61" s="94" t="s">
        <v>128</v>
      </c>
      <c r="D61" s="95"/>
      <c r="E61" s="95"/>
      <c r="F61" s="97">
        <v>874.0</v>
      </c>
      <c r="G61" s="95"/>
      <c r="H61" s="95"/>
      <c r="I61" s="97">
        <v>678.0</v>
      </c>
      <c r="J61" s="95"/>
      <c r="K61" s="95"/>
      <c r="L61" s="108">
        <v>1.5464448E7</v>
      </c>
      <c r="M61" s="95"/>
      <c r="N61" s="95"/>
      <c r="O61" s="95"/>
      <c r="P61" s="95"/>
      <c r="Q61" s="95"/>
      <c r="R61" s="95"/>
      <c r="S61" s="97"/>
      <c r="T61" s="97">
        <v>148.0</v>
      </c>
      <c r="U61" s="95"/>
      <c r="V61" s="95"/>
      <c r="W61" s="97">
        <v>550000.0</v>
      </c>
      <c r="X61" s="95"/>
      <c r="Y61" s="100">
        <f t="shared" si="20"/>
        <v>1920000</v>
      </c>
      <c r="Z61" s="109">
        <v>5.1531403E7</v>
      </c>
      <c r="AA61" s="109">
        <v>3561288.0</v>
      </c>
      <c r="AB61" s="97">
        <v>100.0</v>
      </c>
      <c r="AC61" s="97">
        <v>208.0</v>
      </c>
      <c r="AD61" s="101">
        <v>839711.0</v>
      </c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</row>
    <row r="62" ht="36.0" hidden="1" customHeight="1">
      <c r="A62" s="90">
        <v>6.0</v>
      </c>
      <c r="B62" s="93">
        <f t="shared" si="19"/>
        <v>46274</v>
      </c>
      <c r="C62" s="113" t="s">
        <v>105</v>
      </c>
      <c r="D62" s="95"/>
      <c r="E62" s="95"/>
      <c r="F62" s="97">
        <v>859.0</v>
      </c>
      <c r="G62" s="95"/>
      <c r="H62" s="95"/>
      <c r="I62" s="115">
        <v>689.0</v>
      </c>
      <c r="J62" s="117"/>
      <c r="K62" s="117"/>
      <c r="L62" s="109">
        <v>1.7369621E7</v>
      </c>
      <c r="M62" s="95"/>
      <c r="N62" s="95"/>
      <c r="O62" s="95"/>
      <c r="P62" s="95"/>
      <c r="Q62" s="95"/>
      <c r="R62" s="95"/>
      <c r="S62" s="97"/>
      <c r="T62" s="97">
        <v>125.0</v>
      </c>
      <c r="U62" s="95"/>
      <c r="V62" s="95"/>
      <c r="W62" s="97">
        <v>300000.0</v>
      </c>
      <c r="X62" s="95"/>
      <c r="Y62" s="100">
        <f t="shared" si="20"/>
        <v>1370000</v>
      </c>
      <c r="Z62" s="109">
        <v>6.0334736E7</v>
      </c>
      <c r="AA62" s="109">
        <v>3149030.0</v>
      </c>
      <c r="AB62" s="97">
        <v>80.0</v>
      </c>
      <c r="AC62" s="97">
        <v>44.0</v>
      </c>
      <c r="AD62" s="101">
        <v>1029298.0</v>
      </c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</row>
    <row r="63" ht="15.75" hidden="1" customHeight="1">
      <c r="A63" s="120" t="s">
        <v>96</v>
      </c>
      <c r="B63" s="14"/>
      <c r="C63" s="15"/>
      <c r="D63" s="121">
        <f t="shared" ref="D63:AD63" si="21">SUM(D58:D62)</f>
        <v>0</v>
      </c>
      <c r="E63" s="121">
        <f t="shared" si="21"/>
        <v>0</v>
      </c>
      <c r="F63" s="121">
        <f t="shared" si="21"/>
        <v>4327</v>
      </c>
      <c r="G63" s="121">
        <f t="shared" si="21"/>
        <v>0</v>
      </c>
      <c r="H63" s="121">
        <f t="shared" si="21"/>
        <v>0</v>
      </c>
      <c r="I63" s="121">
        <f t="shared" si="21"/>
        <v>3494</v>
      </c>
      <c r="J63" s="121">
        <f t="shared" si="21"/>
        <v>0</v>
      </c>
      <c r="K63" s="121">
        <f t="shared" si="21"/>
        <v>0</v>
      </c>
      <c r="L63" s="121">
        <f t="shared" si="21"/>
        <v>91433818</v>
      </c>
      <c r="M63" s="121">
        <f t="shared" si="21"/>
        <v>0</v>
      </c>
      <c r="N63" s="121">
        <f t="shared" si="21"/>
        <v>0</v>
      </c>
      <c r="O63" s="121">
        <f t="shared" si="21"/>
        <v>0</v>
      </c>
      <c r="P63" s="121">
        <f t="shared" si="21"/>
        <v>0</v>
      </c>
      <c r="Q63" s="121">
        <f t="shared" si="21"/>
        <v>0</v>
      </c>
      <c r="R63" s="121">
        <f t="shared" si="21"/>
        <v>0</v>
      </c>
      <c r="S63" s="121">
        <f t="shared" si="21"/>
        <v>0</v>
      </c>
      <c r="T63" s="121">
        <f t="shared" si="21"/>
        <v>808</v>
      </c>
      <c r="U63" s="121">
        <f t="shared" si="21"/>
        <v>0</v>
      </c>
      <c r="V63" s="121">
        <f t="shared" si="21"/>
        <v>0</v>
      </c>
      <c r="W63" s="121">
        <f t="shared" si="21"/>
        <v>2670000</v>
      </c>
      <c r="X63" s="121">
        <f t="shared" si="21"/>
        <v>0</v>
      </c>
      <c r="Y63" s="121">
        <f t="shared" si="21"/>
        <v>8420000</v>
      </c>
      <c r="Z63" s="121">
        <f t="shared" si="21"/>
        <v>284684736</v>
      </c>
      <c r="AA63" s="121">
        <f t="shared" si="21"/>
        <v>16495661</v>
      </c>
      <c r="AB63" s="121">
        <f t="shared" si="21"/>
        <v>438</v>
      </c>
      <c r="AC63" s="121">
        <f t="shared" si="21"/>
        <v>1653</v>
      </c>
      <c r="AD63" s="121">
        <f t="shared" si="21"/>
        <v>4755756</v>
      </c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</row>
    <row r="64" ht="15.75" hidden="1" customHeight="1">
      <c r="A64" s="38"/>
      <c r="B64" s="38"/>
      <c r="C64" s="38" t="s">
        <v>50</v>
      </c>
      <c r="F64" s="133">
        <f>F55+1</f>
        <v>46275</v>
      </c>
      <c r="G64" s="23"/>
      <c r="H64" s="23"/>
      <c r="I64" s="23"/>
      <c r="K64" s="50">
        <f>F64</f>
        <v>46275</v>
      </c>
      <c r="L64" s="23"/>
      <c r="M64" s="23"/>
      <c r="N64" s="23"/>
      <c r="O64" s="23"/>
      <c r="P64" s="23"/>
      <c r="Q64" s="23"/>
      <c r="R64" s="23"/>
      <c r="S64" s="23"/>
      <c r="T64" s="23"/>
      <c r="W64" s="54"/>
      <c r="X64" s="54"/>
      <c r="Y64" s="54"/>
      <c r="Z64" s="54"/>
      <c r="AA64" s="56"/>
      <c r="AB64" s="54"/>
      <c r="AC64" s="54"/>
      <c r="AD64" s="54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</row>
    <row r="65" ht="15.75" hidden="1" customHeight="1">
      <c r="A65" s="60" t="s">
        <v>74</v>
      </c>
      <c r="B65" s="63" t="s">
        <v>78</v>
      </c>
      <c r="C65" s="65" t="s">
        <v>53</v>
      </c>
      <c r="D65" s="66" t="s">
        <v>58</v>
      </c>
      <c r="E65" s="15"/>
      <c r="F65" s="68" t="s">
        <v>81</v>
      </c>
      <c r="G65" s="70" t="s">
        <v>82</v>
      </c>
      <c r="H65" s="15"/>
      <c r="I65" s="68" t="s">
        <v>84</v>
      </c>
      <c r="J65" s="68" t="s">
        <v>85</v>
      </c>
      <c r="K65" s="68" t="s">
        <v>86</v>
      </c>
      <c r="L65" s="68" t="s">
        <v>66</v>
      </c>
      <c r="M65" s="68" t="s">
        <v>88</v>
      </c>
      <c r="N65" s="68" t="s">
        <v>89</v>
      </c>
      <c r="O65" s="72" t="s">
        <v>90</v>
      </c>
      <c r="P65" s="15"/>
      <c r="Q65" s="68" t="s">
        <v>92</v>
      </c>
      <c r="R65" s="68" t="s">
        <v>93</v>
      </c>
      <c r="S65" s="76" t="s">
        <v>147</v>
      </c>
      <c r="T65" s="77"/>
      <c r="U65" s="70" t="s">
        <v>95</v>
      </c>
      <c r="V65" s="15"/>
      <c r="W65" s="76" t="s">
        <v>97</v>
      </c>
      <c r="X65" s="77"/>
      <c r="Y65" s="68" t="s">
        <v>102</v>
      </c>
      <c r="Z65" s="68" t="s">
        <v>103</v>
      </c>
      <c r="AA65" s="68" t="s">
        <v>104</v>
      </c>
      <c r="AB65" s="68" t="s">
        <v>106</v>
      </c>
      <c r="AC65" s="68" t="s">
        <v>107</v>
      </c>
      <c r="AD65" s="81" t="s">
        <v>108</v>
      </c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</row>
    <row r="66" ht="30.0" hidden="1" customHeight="1">
      <c r="A66" s="25"/>
      <c r="B66" s="25"/>
      <c r="C66" s="25"/>
      <c r="D66" s="84" t="s">
        <v>109</v>
      </c>
      <c r="E66" s="84" t="s">
        <v>110</v>
      </c>
      <c r="F66" s="25"/>
      <c r="G66" s="84" t="s">
        <v>109</v>
      </c>
      <c r="H66" s="84" t="s">
        <v>110</v>
      </c>
      <c r="I66" s="25"/>
      <c r="J66" s="25"/>
      <c r="K66" s="25"/>
      <c r="L66" s="25"/>
      <c r="M66" s="25"/>
      <c r="N66" s="25"/>
      <c r="O66" s="85" t="s">
        <v>111</v>
      </c>
      <c r="P66" s="84" t="s">
        <v>112</v>
      </c>
      <c r="Q66" s="25"/>
      <c r="R66" s="25"/>
      <c r="S66" s="86"/>
      <c r="T66" s="87"/>
      <c r="U66" s="84" t="s">
        <v>113</v>
      </c>
      <c r="V66" s="84" t="s">
        <v>114</v>
      </c>
      <c r="W66" s="86"/>
      <c r="X66" s="87"/>
      <c r="Y66" s="25"/>
      <c r="Z66" s="25"/>
      <c r="AA66" s="25"/>
      <c r="AB66" s="25"/>
      <c r="AC66" s="25"/>
      <c r="AD66" s="25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</row>
    <row r="67" ht="36.0" hidden="1" customHeight="1">
      <c r="A67" s="90">
        <v>1.0</v>
      </c>
      <c r="B67" s="93">
        <f t="shared" ref="B67:B71" si="22">$F$64</f>
        <v>46275</v>
      </c>
      <c r="C67" s="94" t="s">
        <v>115</v>
      </c>
      <c r="D67" s="95"/>
      <c r="E67" s="95"/>
      <c r="F67" s="97">
        <v>774.0</v>
      </c>
      <c r="G67" s="95"/>
      <c r="H67" s="95"/>
      <c r="I67" s="97">
        <v>633.0</v>
      </c>
      <c r="J67" s="95"/>
      <c r="K67" s="95"/>
      <c r="L67" s="97">
        <v>1.9518183E7</v>
      </c>
      <c r="M67" s="95"/>
      <c r="N67" s="95"/>
      <c r="O67" s="95"/>
      <c r="P67" s="95"/>
      <c r="Q67" s="95"/>
      <c r="R67" s="95"/>
      <c r="S67" s="97"/>
      <c r="T67" s="97">
        <v>185.0</v>
      </c>
      <c r="U67" s="95"/>
      <c r="V67" s="95"/>
      <c r="W67" s="97">
        <v>730000.0</v>
      </c>
      <c r="X67" s="95"/>
      <c r="Y67" s="100">
        <f t="shared" ref="Y67:Y71" si="23">Y58+W67</f>
        <v>1620000</v>
      </c>
      <c r="Z67" s="97">
        <v>5.3471941E7</v>
      </c>
      <c r="AA67" s="97">
        <v>3311966.0</v>
      </c>
      <c r="AB67" s="97">
        <v>84.0</v>
      </c>
      <c r="AC67" s="97">
        <v>0.0</v>
      </c>
      <c r="AD67" s="101">
        <v>995895.0</v>
      </c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</row>
    <row r="68" ht="36.0" hidden="1" customHeight="1">
      <c r="A68" s="90">
        <v>2.0</v>
      </c>
      <c r="B68" s="93">
        <f t="shared" si="22"/>
        <v>46275</v>
      </c>
      <c r="C68" s="94" t="s">
        <v>119</v>
      </c>
      <c r="D68" s="95"/>
      <c r="E68" s="95"/>
      <c r="F68" s="97">
        <v>902.0</v>
      </c>
      <c r="G68" s="95"/>
      <c r="H68" s="95"/>
      <c r="I68" s="97">
        <v>725.0</v>
      </c>
      <c r="J68" s="95"/>
      <c r="K68" s="95"/>
      <c r="L68" s="97">
        <v>1.6156148E7</v>
      </c>
      <c r="M68" s="95"/>
      <c r="N68" s="95"/>
      <c r="O68" s="95"/>
      <c r="P68" s="95"/>
      <c r="Q68" s="95"/>
      <c r="R68" s="95"/>
      <c r="S68" s="97"/>
      <c r="T68" s="97">
        <v>143.0</v>
      </c>
      <c r="U68" s="95"/>
      <c r="V68" s="95"/>
      <c r="W68" s="97">
        <v>0.0</v>
      </c>
      <c r="X68" s="95"/>
      <c r="Y68" s="100">
        <f t="shared" si="23"/>
        <v>1310000</v>
      </c>
      <c r="Z68" s="97">
        <v>5.1586052E7</v>
      </c>
      <c r="AA68" s="97">
        <v>2950883.0</v>
      </c>
      <c r="AB68" s="97">
        <v>96.0</v>
      </c>
      <c r="AC68" s="97">
        <v>3368.0</v>
      </c>
      <c r="AD68" s="101">
        <v>1011263.0</v>
      </c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</row>
    <row r="69" ht="36.0" hidden="1" customHeight="1">
      <c r="A69" s="90">
        <v>3.0</v>
      </c>
      <c r="B69" s="93">
        <f t="shared" si="22"/>
        <v>46275</v>
      </c>
      <c r="C69" s="94" t="s">
        <v>123</v>
      </c>
      <c r="D69" s="95"/>
      <c r="E69" s="95"/>
      <c r="F69" s="97">
        <v>918.0</v>
      </c>
      <c r="G69" s="95"/>
      <c r="H69" s="95"/>
      <c r="I69" s="97">
        <v>760.0</v>
      </c>
      <c r="J69" s="95"/>
      <c r="K69" s="95"/>
      <c r="L69" s="97">
        <v>2.3003529E7</v>
      </c>
      <c r="M69" s="95"/>
      <c r="N69" s="95"/>
      <c r="O69" s="95"/>
      <c r="P69" s="95"/>
      <c r="Q69" s="95"/>
      <c r="R69" s="95"/>
      <c r="S69" s="97"/>
      <c r="T69" s="97">
        <v>304.0</v>
      </c>
      <c r="U69" s="95"/>
      <c r="V69" s="95"/>
      <c r="W69" s="97">
        <v>230000.0</v>
      </c>
      <c r="X69" s="95"/>
      <c r="Y69" s="100">
        <f t="shared" si="23"/>
        <v>3160000</v>
      </c>
      <c r="Z69" s="97">
        <v>6.7122364E7</v>
      </c>
      <c r="AA69" s="106">
        <v>3645265.0</v>
      </c>
      <c r="AB69" s="97">
        <v>87.0</v>
      </c>
      <c r="AC69" s="97">
        <v>10.0</v>
      </c>
      <c r="AD69" s="101">
        <v>1819231.0</v>
      </c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</row>
    <row r="70" ht="36.0" hidden="1" customHeight="1">
      <c r="A70" s="90">
        <v>4.0</v>
      </c>
      <c r="B70" s="93">
        <f t="shared" si="22"/>
        <v>46275</v>
      </c>
      <c r="C70" s="94" t="s">
        <v>128</v>
      </c>
      <c r="D70" s="95"/>
      <c r="E70" s="95"/>
      <c r="F70" s="97">
        <v>872.0</v>
      </c>
      <c r="G70" s="95"/>
      <c r="H70" s="95"/>
      <c r="I70" s="97">
        <v>678.0</v>
      </c>
      <c r="J70" s="95"/>
      <c r="K70" s="95"/>
      <c r="L70" s="108">
        <v>1.5467726E7</v>
      </c>
      <c r="M70" s="95"/>
      <c r="N70" s="95"/>
      <c r="O70" s="95"/>
      <c r="P70" s="95"/>
      <c r="Q70" s="95"/>
      <c r="R70" s="95"/>
      <c r="S70" s="97"/>
      <c r="T70" s="97">
        <v>202.0</v>
      </c>
      <c r="U70" s="95"/>
      <c r="V70" s="95"/>
      <c r="W70" s="97">
        <v>765000.0</v>
      </c>
      <c r="X70" s="95"/>
      <c r="Y70" s="100">
        <f t="shared" si="23"/>
        <v>2685000</v>
      </c>
      <c r="Z70" s="109">
        <v>5.1705569E7</v>
      </c>
      <c r="AA70" s="109">
        <v>3619234.0</v>
      </c>
      <c r="AB70" s="97">
        <v>100.0</v>
      </c>
      <c r="AC70" s="97">
        <v>56.0</v>
      </c>
      <c r="AD70" s="101">
        <v>758191.0</v>
      </c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</row>
    <row r="71" ht="36.0" hidden="1" customHeight="1">
      <c r="A71" s="90">
        <v>6.0</v>
      </c>
      <c r="B71" s="93">
        <f t="shared" si="22"/>
        <v>46275</v>
      </c>
      <c r="C71" s="113" t="s">
        <v>105</v>
      </c>
      <c r="D71" s="95"/>
      <c r="E71" s="95"/>
      <c r="F71" s="97">
        <v>862.0</v>
      </c>
      <c r="G71" s="95"/>
      <c r="H71" s="95"/>
      <c r="I71" s="115">
        <v>693.0</v>
      </c>
      <c r="J71" s="117"/>
      <c r="K71" s="117"/>
      <c r="L71" s="109">
        <v>1.7414827E7</v>
      </c>
      <c r="M71" s="95"/>
      <c r="N71" s="95"/>
      <c r="O71" s="95"/>
      <c r="P71" s="95"/>
      <c r="Q71" s="95"/>
      <c r="R71" s="95"/>
      <c r="S71" s="97"/>
      <c r="T71" s="97">
        <v>154.0</v>
      </c>
      <c r="U71" s="95"/>
      <c r="V71" s="95"/>
      <c r="W71" s="97">
        <v>810000.0</v>
      </c>
      <c r="X71" s="95"/>
      <c r="Y71" s="100">
        <f t="shared" si="23"/>
        <v>2180000</v>
      </c>
      <c r="Z71" s="109">
        <v>6.0777071E7</v>
      </c>
      <c r="AA71" s="109">
        <v>3357113.0</v>
      </c>
      <c r="AB71" s="97">
        <v>94.0</v>
      </c>
      <c r="AC71" s="97">
        <v>55.0</v>
      </c>
      <c r="AD71" s="101">
        <v>700982.0</v>
      </c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</row>
    <row r="72" ht="15.75" hidden="1" customHeight="1">
      <c r="A72" s="120" t="s">
        <v>96</v>
      </c>
      <c r="B72" s="14"/>
      <c r="C72" s="15"/>
      <c r="D72" s="121">
        <f t="shared" ref="D72:AD72" si="24">SUM(D67:D71)</f>
        <v>0</v>
      </c>
      <c r="E72" s="121">
        <f t="shared" si="24"/>
        <v>0</v>
      </c>
      <c r="F72" s="121">
        <f t="shared" si="24"/>
        <v>4328</v>
      </c>
      <c r="G72" s="121">
        <f t="shared" si="24"/>
        <v>0</v>
      </c>
      <c r="H72" s="121">
        <f t="shared" si="24"/>
        <v>0</v>
      </c>
      <c r="I72" s="121">
        <f t="shared" si="24"/>
        <v>3489</v>
      </c>
      <c r="J72" s="121">
        <f t="shared" si="24"/>
        <v>0</v>
      </c>
      <c r="K72" s="121">
        <f t="shared" si="24"/>
        <v>0</v>
      </c>
      <c r="L72" s="121">
        <f t="shared" si="24"/>
        <v>91560413</v>
      </c>
      <c r="M72" s="121">
        <f t="shared" si="24"/>
        <v>0</v>
      </c>
      <c r="N72" s="121">
        <f t="shared" si="24"/>
        <v>0</v>
      </c>
      <c r="O72" s="121">
        <f t="shared" si="24"/>
        <v>0</v>
      </c>
      <c r="P72" s="121">
        <f t="shared" si="24"/>
        <v>0</v>
      </c>
      <c r="Q72" s="121">
        <f t="shared" si="24"/>
        <v>0</v>
      </c>
      <c r="R72" s="121">
        <f t="shared" si="24"/>
        <v>0</v>
      </c>
      <c r="S72" s="121">
        <f t="shared" si="24"/>
        <v>0</v>
      </c>
      <c r="T72" s="121">
        <f t="shared" si="24"/>
        <v>988</v>
      </c>
      <c r="U72" s="121">
        <f t="shared" si="24"/>
        <v>0</v>
      </c>
      <c r="V72" s="121">
        <f t="shared" si="24"/>
        <v>0</v>
      </c>
      <c r="W72" s="121">
        <f t="shared" si="24"/>
        <v>2535000</v>
      </c>
      <c r="X72" s="121">
        <f t="shared" si="24"/>
        <v>0</v>
      </c>
      <c r="Y72" s="121">
        <f t="shared" si="24"/>
        <v>10955000</v>
      </c>
      <c r="Z72" s="121">
        <f t="shared" si="24"/>
        <v>284662997</v>
      </c>
      <c r="AA72" s="121">
        <f t="shared" si="24"/>
        <v>16884461</v>
      </c>
      <c r="AB72" s="121">
        <f t="shared" si="24"/>
        <v>461</v>
      </c>
      <c r="AC72" s="121">
        <f t="shared" si="24"/>
        <v>3489</v>
      </c>
      <c r="AD72" s="121">
        <f t="shared" si="24"/>
        <v>5285562</v>
      </c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</row>
    <row r="73" ht="15.75" customHeight="1">
      <c r="A73" s="38"/>
      <c r="B73" s="38"/>
      <c r="C73" s="38" t="s">
        <v>50</v>
      </c>
      <c r="F73" s="133">
        <f>F64+3</f>
        <v>46278</v>
      </c>
      <c r="G73" s="23"/>
      <c r="H73" s="23"/>
      <c r="I73" s="23"/>
      <c r="K73" s="50">
        <f>F73</f>
        <v>46278</v>
      </c>
      <c r="L73" s="23"/>
      <c r="M73" s="23"/>
      <c r="N73" s="23"/>
      <c r="O73" s="23"/>
      <c r="P73" s="23"/>
      <c r="Q73" s="23"/>
      <c r="R73" s="23"/>
      <c r="S73" s="23"/>
      <c r="T73" s="23"/>
      <c r="W73" s="54"/>
      <c r="X73" s="54"/>
      <c r="Y73" s="54"/>
      <c r="Z73" s="54"/>
      <c r="AA73" s="56"/>
      <c r="AB73" s="54"/>
      <c r="AC73" s="54"/>
      <c r="AD73" s="54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</row>
    <row r="74" ht="15.75" customHeight="1">
      <c r="A74" s="60" t="s">
        <v>74</v>
      </c>
      <c r="B74" s="63" t="s">
        <v>78</v>
      </c>
      <c r="C74" s="65" t="s">
        <v>53</v>
      </c>
      <c r="D74" s="66" t="s">
        <v>58</v>
      </c>
      <c r="E74" s="15"/>
      <c r="F74" s="68" t="s">
        <v>81</v>
      </c>
      <c r="G74" s="70" t="s">
        <v>82</v>
      </c>
      <c r="H74" s="15"/>
      <c r="I74" s="68" t="s">
        <v>84</v>
      </c>
      <c r="J74" s="68" t="s">
        <v>85</v>
      </c>
      <c r="K74" s="68" t="s">
        <v>86</v>
      </c>
      <c r="L74" s="68" t="s">
        <v>66</v>
      </c>
      <c r="M74" s="68" t="s">
        <v>88</v>
      </c>
      <c r="N74" s="68" t="s">
        <v>89</v>
      </c>
      <c r="O74" s="72" t="s">
        <v>90</v>
      </c>
      <c r="P74" s="15"/>
      <c r="Q74" s="68" t="s">
        <v>92</v>
      </c>
      <c r="R74" s="68" t="s">
        <v>93</v>
      </c>
      <c r="S74" s="76" t="s">
        <v>147</v>
      </c>
      <c r="T74" s="77"/>
      <c r="U74" s="70" t="s">
        <v>95</v>
      </c>
      <c r="V74" s="15"/>
      <c r="W74" s="76" t="s">
        <v>97</v>
      </c>
      <c r="X74" s="77"/>
      <c r="Y74" s="68" t="s">
        <v>102</v>
      </c>
      <c r="Z74" s="68" t="s">
        <v>103</v>
      </c>
      <c r="AA74" s="68" t="s">
        <v>104</v>
      </c>
      <c r="AB74" s="68" t="s">
        <v>106</v>
      </c>
      <c r="AC74" s="68" t="s">
        <v>107</v>
      </c>
      <c r="AD74" s="81" t="s">
        <v>108</v>
      </c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</row>
    <row r="75" ht="24.0" customHeight="1">
      <c r="A75" s="25"/>
      <c r="B75" s="25"/>
      <c r="C75" s="25"/>
      <c r="D75" s="84" t="s">
        <v>109</v>
      </c>
      <c r="E75" s="84" t="s">
        <v>110</v>
      </c>
      <c r="F75" s="25"/>
      <c r="G75" s="84" t="s">
        <v>109</v>
      </c>
      <c r="H75" s="84" t="s">
        <v>110</v>
      </c>
      <c r="I75" s="25"/>
      <c r="J75" s="25"/>
      <c r="K75" s="25"/>
      <c r="L75" s="25"/>
      <c r="M75" s="25"/>
      <c r="N75" s="25"/>
      <c r="O75" s="85" t="s">
        <v>111</v>
      </c>
      <c r="P75" s="84" t="s">
        <v>112</v>
      </c>
      <c r="Q75" s="25"/>
      <c r="R75" s="25"/>
      <c r="S75" s="86"/>
      <c r="T75" s="87"/>
      <c r="U75" s="84" t="s">
        <v>113</v>
      </c>
      <c r="V75" s="84" t="s">
        <v>114</v>
      </c>
      <c r="W75" s="86"/>
      <c r="X75" s="87"/>
      <c r="Y75" s="25"/>
      <c r="Z75" s="25"/>
      <c r="AA75" s="25"/>
      <c r="AB75" s="25"/>
      <c r="AC75" s="25"/>
      <c r="AD75" s="25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</row>
    <row r="76" ht="36.0" customHeight="1">
      <c r="A76" s="90">
        <v>1.0</v>
      </c>
      <c r="B76" s="93">
        <f t="shared" ref="B76:B80" si="25">$F$73</f>
        <v>46278</v>
      </c>
      <c r="C76" s="94" t="s">
        <v>115</v>
      </c>
      <c r="D76" s="95"/>
      <c r="E76" s="95"/>
      <c r="F76" s="97">
        <v>774.0</v>
      </c>
      <c r="G76" s="95"/>
      <c r="H76" s="95"/>
      <c r="I76" s="97">
        <v>633.0</v>
      </c>
      <c r="J76" s="95"/>
      <c r="K76" s="95"/>
      <c r="L76" s="97">
        <v>1.9573259E7</v>
      </c>
      <c r="M76" s="95"/>
      <c r="N76" s="95"/>
      <c r="O76" s="95"/>
      <c r="P76" s="95"/>
      <c r="Q76" s="95"/>
      <c r="R76" s="95"/>
      <c r="S76" s="97"/>
      <c r="T76" s="97">
        <v>223.0</v>
      </c>
      <c r="U76" s="95"/>
      <c r="V76" s="95"/>
      <c r="W76" s="97">
        <v>100000.0</v>
      </c>
      <c r="X76" s="95"/>
      <c r="Y76" s="100">
        <f t="shared" ref="Y76:Y80" si="26">Y67+W76</f>
        <v>1720000</v>
      </c>
      <c r="Z76" s="97">
        <v>5.3167405E7</v>
      </c>
      <c r="AA76" s="97">
        <v>3432278.0</v>
      </c>
      <c r="AB76" s="97">
        <v>85.0</v>
      </c>
      <c r="AC76" s="97">
        <v>0.0</v>
      </c>
      <c r="AD76" s="101">
        <v>1408485.0</v>
      </c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</row>
    <row r="77" ht="36.0" customHeight="1">
      <c r="A77" s="90">
        <v>2.0</v>
      </c>
      <c r="B77" s="93">
        <f t="shared" si="25"/>
        <v>46278</v>
      </c>
      <c r="C77" s="94" t="s">
        <v>119</v>
      </c>
      <c r="D77" s="95"/>
      <c r="E77" s="95"/>
      <c r="F77" s="97">
        <v>902.0</v>
      </c>
      <c r="G77" s="95"/>
      <c r="H77" s="95"/>
      <c r="I77" s="97">
        <v>728.0</v>
      </c>
      <c r="J77" s="95"/>
      <c r="K77" s="95"/>
      <c r="L77" s="97">
        <v>1.6190423E7</v>
      </c>
      <c r="M77" s="95"/>
      <c r="N77" s="95"/>
      <c r="O77" s="95"/>
      <c r="P77" s="95"/>
      <c r="Q77" s="95"/>
      <c r="R77" s="95"/>
      <c r="S77" s="97"/>
      <c r="T77" s="97">
        <v>172.0</v>
      </c>
      <c r="U77" s="95"/>
      <c r="V77" s="95"/>
      <c r="W77" s="97">
        <v>560000.0</v>
      </c>
      <c r="X77" s="95"/>
      <c r="Y77" s="100">
        <f t="shared" si="26"/>
        <v>1870000</v>
      </c>
      <c r="Z77" s="97">
        <v>5.1807059E7</v>
      </c>
      <c r="AA77" s="97">
        <v>3167464.0</v>
      </c>
      <c r="AB77" s="97">
        <v>96.0</v>
      </c>
      <c r="AC77" s="97">
        <v>1430.0</v>
      </c>
      <c r="AD77" s="101">
        <v>882191.0</v>
      </c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</row>
    <row r="78" ht="36.0" customHeight="1">
      <c r="A78" s="90">
        <v>3.0</v>
      </c>
      <c r="B78" s="93">
        <f t="shared" si="25"/>
        <v>46278</v>
      </c>
      <c r="C78" s="94" t="s">
        <v>123</v>
      </c>
      <c r="D78" s="95">
        <v>2.0</v>
      </c>
      <c r="E78" s="95">
        <v>0.0</v>
      </c>
      <c r="F78" s="97">
        <v>917.0</v>
      </c>
      <c r="G78" s="95"/>
      <c r="H78" s="95"/>
      <c r="I78" s="97">
        <v>759.0</v>
      </c>
      <c r="J78" s="95"/>
      <c r="K78" s="95"/>
      <c r="L78" s="97">
        <v>2.306402E7</v>
      </c>
      <c r="M78" s="95"/>
      <c r="N78" s="95"/>
      <c r="O78" s="95"/>
      <c r="P78" s="95"/>
      <c r="Q78" s="95"/>
      <c r="R78" s="95"/>
      <c r="S78" s="97"/>
      <c r="T78" s="97">
        <v>346.0</v>
      </c>
      <c r="U78" s="95"/>
      <c r="V78" s="95"/>
      <c r="W78" s="97">
        <v>30000.0</v>
      </c>
      <c r="X78" s="95"/>
      <c r="Y78" s="100">
        <f t="shared" si="26"/>
        <v>3190000</v>
      </c>
      <c r="Z78" s="97">
        <v>6.6737603E7</v>
      </c>
      <c r="AA78" s="106">
        <v>3786369.0</v>
      </c>
      <c r="AB78" s="97">
        <v>86.0</v>
      </c>
      <c r="AC78" s="97">
        <v>0.0</v>
      </c>
      <c r="AD78" s="101">
        <v>2326311.0</v>
      </c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</row>
    <row r="79" ht="36.0" customHeight="1">
      <c r="A79" s="193">
        <v>4.0</v>
      </c>
      <c r="B79" s="93">
        <f t="shared" si="25"/>
        <v>46278</v>
      </c>
      <c r="C79" s="94" t="s">
        <v>128</v>
      </c>
      <c r="D79" s="95">
        <v>2.0</v>
      </c>
      <c r="E79" s="95">
        <v>0.0</v>
      </c>
      <c r="F79" s="97">
        <v>873.0</v>
      </c>
      <c r="G79" s="95"/>
      <c r="H79" s="95"/>
      <c r="I79" s="97">
        <v>678.0</v>
      </c>
      <c r="J79" s="95"/>
      <c r="K79" s="95"/>
      <c r="L79" s="108">
        <v>1.5554693E7</v>
      </c>
      <c r="M79" s="95"/>
      <c r="N79" s="95"/>
      <c r="O79" s="95"/>
      <c r="P79" s="95"/>
      <c r="Q79" s="95"/>
      <c r="R79" s="95"/>
      <c r="S79" s="97"/>
      <c r="T79" s="97">
        <v>242.0</v>
      </c>
      <c r="U79" s="95"/>
      <c r="V79" s="95"/>
      <c r="W79" s="97">
        <v>400000.0</v>
      </c>
      <c r="X79" s="95"/>
      <c r="Y79" s="100">
        <f t="shared" si="26"/>
        <v>3085000</v>
      </c>
      <c r="Z79" s="109">
        <v>5.1667295E7</v>
      </c>
      <c r="AA79" s="109">
        <v>3717682.0</v>
      </c>
      <c r="AB79" s="97">
        <v>69.0</v>
      </c>
      <c r="AC79" s="97">
        <v>29.0</v>
      </c>
      <c r="AD79" s="101">
        <v>943000.0</v>
      </c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</row>
    <row r="80" ht="36.0" customHeight="1">
      <c r="A80" s="90">
        <v>6.0</v>
      </c>
      <c r="B80" s="93">
        <f t="shared" si="25"/>
        <v>46278</v>
      </c>
      <c r="C80" s="113" t="s">
        <v>105</v>
      </c>
      <c r="D80" s="95"/>
      <c r="E80" s="95"/>
      <c r="F80" s="97">
        <v>862.0</v>
      </c>
      <c r="G80" s="95"/>
      <c r="H80" s="95"/>
      <c r="I80" s="115">
        <v>692.0</v>
      </c>
      <c r="J80" s="117"/>
      <c r="K80" s="117"/>
      <c r="L80" s="109">
        <v>1.7459586E7</v>
      </c>
      <c r="M80" s="95"/>
      <c r="N80" s="95"/>
      <c r="O80" s="95"/>
      <c r="P80" s="95"/>
      <c r="Q80" s="95"/>
      <c r="R80" s="95"/>
      <c r="S80" s="97"/>
      <c r="T80" s="97">
        <v>195.0</v>
      </c>
      <c r="U80" s="95"/>
      <c r="V80" s="95"/>
      <c r="W80" s="97">
        <v>30000.0</v>
      </c>
      <c r="X80" s="95"/>
      <c r="Y80" s="100">
        <f t="shared" si="26"/>
        <v>2210000</v>
      </c>
      <c r="Z80" s="109">
        <v>6.0395747E7</v>
      </c>
      <c r="AA80" s="109">
        <v>3362274.0</v>
      </c>
      <c r="AB80" s="97">
        <v>87.0</v>
      </c>
      <c r="AC80" s="97">
        <v>60.0</v>
      </c>
      <c r="AD80" s="101">
        <v>1202622.0</v>
      </c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</row>
    <row r="81" ht="15.75" customHeight="1">
      <c r="A81" s="120" t="s">
        <v>96</v>
      </c>
      <c r="B81" s="14"/>
      <c r="C81" s="15"/>
      <c r="D81" s="121">
        <f t="shared" ref="D81:AD81" si="27">SUM(D76:D80)</f>
        <v>4</v>
      </c>
      <c r="E81" s="121">
        <f t="shared" si="27"/>
        <v>0</v>
      </c>
      <c r="F81" s="121">
        <f t="shared" si="27"/>
        <v>4328</v>
      </c>
      <c r="G81" s="121">
        <f t="shared" si="27"/>
        <v>0</v>
      </c>
      <c r="H81" s="121">
        <f t="shared" si="27"/>
        <v>0</v>
      </c>
      <c r="I81" s="121">
        <f t="shared" si="27"/>
        <v>3490</v>
      </c>
      <c r="J81" s="121">
        <f t="shared" si="27"/>
        <v>0</v>
      </c>
      <c r="K81" s="121">
        <f t="shared" si="27"/>
        <v>0</v>
      </c>
      <c r="L81" s="121">
        <f t="shared" si="27"/>
        <v>91841981</v>
      </c>
      <c r="M81" s="121">
        <f t="shared" si="27"/>
        <v>0</v>
      </c>
      <c r="N81" s="121">
        <f t="shared" si="27"/>
        <v>0</v>
      </c>
      <c r="O81" s="121">
        <f t="shared" si="27"/>
        <v>0</v>
      </c>
      <c r="P81" s="121">
        <f t="shared" si="27"/>
        <v>0</v>
      </c>
      <c r="Q81" s="121">
        <f t="shared" si="27"/>
        <v>0</v>
      </c>
      <c r="R81" s="121">
        <f t="shared" si="27"/>
        <v>0</v>
      </c>
      <c r="S81" s="121">
        <f t="shared" si="27"/>
        <v>0</v>
      </c>
      <c r="T81" s="121">
        <f t="shared" si="27"/>
        <v>1178</v>
      </c>
      <c r="U81" s="121">
        <f t="shared" si="27"/>
        <v>0</v>
      </c>
      <c r="V81" s="121">
        <f t="shared" si="27"/>
        <v>0</v>
      </c>
      <c r="W81" s="121">
        <f t="shared" si="27"/>
        <v>1120000</v>
      </c>
      <c r="X81" s="121">
        <f t="shared" si="27"/>
        <v>0</v>
      </c>
      <c r="Y81" s="121">
        <f t="shared" si="27"/>
        <v>12075000</v>
      </c>
      <c r="Z81" s="121">
        <f t="shared" si="27"/>
        <v>283775109</v>
      </c>
      <c r="AA81" s="121">
        <f t="shared" si="27"/>
        <v>17466067</v>
      </c>
      <c r="AB81" s="121">
        <f t="shared" si="27"/>
        <v>423</v>
      </c>
      <c r="AC81" s="121">
        <f t="shared" si="27"/>
        <v>1519</v>
      </c>
      <c r="AD81" s="121">
        <f t="shared" si="27"/>
        <v>6762609</v>
      </c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</row>
    <row r="82" ht="15.75" customHeight="1">
      <c r="A82" s="38"/>
      <c r="B82" s="38"/>
      <c r="C82" s="38" t="s">
        <v>50</v>
      </c>
      <c r="F82" s="133">
        <f>F73+1</f>
        <v>46279</v>
      </c>
      <c r="G82" s="23"/>
      <c r="H82" s="23"/>
      <c r="I82" s="23"/>
      <c r="K82" s="50">
        <f>F82</f>
        <v>46279</v>
      </c>
      <c r="L82" s="23"/>
      <c r="M82" s="23"/>
      <c r="N82" s="23"/>
      <c r="O82" s="23"/>
      <c r="P82" s="23"/>
      <c r="Q82" s="23"/>
      <c r="R82" s="23"/>
      <c r="S82" s="23"/>
      <c r="T82" s="23"/>
      <c r="W82" s="54"/>
      <c r="X82" s="54"/>
      <c r="Y82" s="54"/>
      <c r="Z82" s="54"/>
      <c r="AA82" s="56"/>
      <c r="AB82" s="54"/>
      <c r="AC82" s="54"/>
      <c r="AD82" s="54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</row>
    <row r="83" ht="15.75" customHeight="1">
      <c r="A83" s="60" t="s">
        <v>74</v>
      </c>
      <c r="B83" s="63" t="s">
        <v>78</v>
      </c>
      <c r="C83" s="65" t="s">
        <v>53</v>
      </c>
      <c r="D83" s="66" t="s">
        <v>58</v>
      </c>
      <c r="E83" s="15"/>
      <c r="F83" s="68" t="s">
        <v>81</v>
      </c>
      <c r="G83" s="70" t="s">
        <v>82</v>
      </c>
      <c r="H83" s="15"/>
      <c r="I83" s="68" t="s">
        <v>84</v>
      </c>
      <c r="J83" s="68" t="s">
        <v>85</v>
      </c>
      <c r="K83" s="68" t="s">
        <v>86</v>
      </c>
      <c r="L83" s="68" t="s">
        <v>66</v>
      </c>
      <c r="M83" s="68" t="s">
        <v>88</v>
      </c>
      <c r="N83" s="68" t="s">
        <v>89</v>
      </c>
      <c r="O83" s="72" t="s">
        <v>90</v>
      </c>
      <c r="P83" s="15"/>
      <c r="Q83" s="68" t="s">
        <v>92</v>
      </c>
      <c r="R83" s="68" t="s">
        <v>93</v>
      </c>
      <c r="S83" s="76" t="s">
        <v>147</v>
      </c>
      <c r="T83" s="77"/>
      <c r="U83" s="70" t="s">
        <v>95</v>
      </c>
      <c r="V83" s="15"/>
      <c r="W83" s="76" t="s">
        <v>97</v>
      </c>
      <c r="X83" s="77"/>
      <c r="Y83" s="68" t="s">
        <v>102</v>
      </c>
      <c r="Z83" s="68" t="s">
        <v>103</v>
      </c>
      <c r="AA83" s="68" t="s">
        <v>104</v>
      </c>
      <c r="AB83" s="68" t="s">
        <v>106</v>
      </c>
      <c r="AC83" s="68" t="s">
        <v>107</v>
      </c>
      <c r="AD83" s="81" t="s">
        <v>108</v>
      </c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</row>
    <row r="84" ht="23.25" customHeight="1">
      <c r="A84" s="25"/>
      <c r="B84" s="25"/>
      <c r="C84" s="25"/>
      <c r="D84" s="84" t="s">
        <v>109</v>
      </c>
      <c r="E84" s="84" t="s">
        <v>110</v>
      </c>
      <c r="F84" s="25"/>
      <c r="G84" s="84" t="s">
        <v>109</v>
      </c>
      <c r="H84" s="84" t="s">
        <v>110</v>
      </c>
      <c r="I84" s="25"/>
      <c r="J84" s="25"/>
      <c r="K84" s="25"/>
      <c r="L84" s="25"/>
      <c r="M84" s="25"/>
      <c r="N84" s="25"/>
      <c r="O84" s="85" t="s">
        <v>111</v>
      </c>
      <c r="P84" s="84" t="s">
        <v>112</v>
      </c>
      <c r="Q84" s="25"/>
      <c r="R84" s="25"/>
      <c r="S84" s="86"/>
      <c r="T84" s="87"/>
      <c r="U84" s="84" t="s">
        <v>113</v>
      </c>
      <c r="V84" s="84" t="s">
        <v>114</v>
      </c>
      <c r="W84" s="86"/>
      <c r="X84" s="87"/>
      <c r="Y84" s="25"/>
      <c r="Z84" s="25"/>
      <c r="AA84" s="25"/>
      <c r="AB84" s="25"/>
      <c r="AC84" s="25"/>
      <c r="AD84" s="25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</row>
    <row r="85" ht="36.0" customHeight="1">
      <c r="A85" s="90">
        <v>1.0</v>
      </c>
      <c r="B85" s="93">
        <f t="shared" ref="B85:B89" si="28">$F$82</f>
        <v>46279</v>
      </c>
      <c r="C85" s="94" t="s">
        <v>115</v>
      </c>
      <c r="D85" s="95">
        <v>2.0</v>
      </c>
      <c r="E85" s="95">
        <v>2.0</v>
      </c>
      <c r="F85" s="97">
        <v>773.0</v>
      </c>
      <c r="G85" s="95"/>
      <c r="H85" s="95"/>
      <c r="I85" s="97">
        <v>632.0</v>
      </c>
      <c r="J85" s="95"/>
      <c r="K85" s="95"/>
      <c r="L85" s="97">
        <v>1.9601614E7</v>
      </c>
      <c r="M85" s="95"/>
      <c r="N85" s="95"/>
      <c r="O85" s="95"/>
      <c r="P85" s="95"/>
      <c r="Q85" s="95"/>
      <c r="R85" s="95"/>
      <c r="S85" s="97"/>
      <c r="T85" s="97">
        <v>254.0</v>
      </c>
      <c r="U85" s="95"/>
      <c r="V85" s="95"/>
      <c r="W85" s="97">
        <v>140000.0</v>
      </c>
      <c r="X85" s="95"/>
      <c r="Y85" s="100">
        <f t="shared" ref="Y85:Y89" si="29">Y76+W85</f>
        <v>1860000</v>
      </c>
      <c r="Z85" s="97">
        <v>5.3002614E7</v>
      </c>
      <c r="AA85" s="97">
        <v>3524395.0</v>
      </c>
      <c r="AB85" s="97">
        <v>84.0</v>
      </c>
      <c r="AC85" s="97">
        <v>4000.0</v>
      </c>
      <c r="AD85" s="101">
        <v>1646295.0</v>
      </c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</row>
    <row r="86" ht="36.0" customHeight="1">
      <c r="A86" s="90">
        <v>2.0</v>
      </c>
      <c r="B86" s="93">
        <f t="shared" si="28"/>
        <v>46279</v>
      </c>
      <c r="C86" s="94" t="s">
        <v>119</v>
      </c>
      <c r="D86" s="95"/>
      <c r="E86" s="95"/>
      <c r="F86" s="97">
        <v>902.0</v>
      </c>
      <c r="G86" s="95"/>
      <c r="H86" s="95"/>
      <c r="I86" s="97">
        <v>733.0</v>
      </c>
      <c r="J86" s="95"/>
      <c r="K86" s="95"/>
      <c r="L86" s="97">
        <v>1.6305214E7</v>
      </c>
      <c r="M86" s="95"/>
      <c r="N86" s="95"/>
      <c r="O86" s="95"/>
      <c r="P86" s="95"/>
      <c r="Q86" s="95"/>
      <c r="R86" s="95"/>
      <c r="S86" s="97"/>
      <c r="T86" s="97">
        <f>172+22</f>
        <v>194</v>
      </c>
      <c r="U86" s="95"/>
      <c r="V86" s="95"/>
      <c r="W86" s="97">
        <v>553000.0</v>
      </c>
      <c r="X86" s="95"/>
      <c r="Y86" s="100">
        <f t="shared" si="29"/>
        <v>2423000</v>
      </c>
      <c r="Z86" s="97">
        <v>5.2035492E7</v>
      </c>
      <c r="AA86" s="97">
        <v>3292336.0</v>
      </c>
      <c r="AB86" s="97">
        <v>98.0</v>
      </c>
      <c r="AC86" s="97">
        <v>207.0</v>
      </c>
      <c r="AD86" s="101">
        <v>822541.0</v>
      </c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</row>
    <row r="87" ht="36.0" customHeight="1">
      <c r="A87" s="90">
        <v>3.0</v>
      </c>
      <c r="B87" s="93">
        <f t="shared" si="28"/>
        <v>46279</v>
      </c>
      <c r="C87" s="94" t="s">
        <v>123</v>
      </c>
      <c r="D87" s="95">
        <v>2.0</v>
      </c>
      <c r="E87" s="95">
        <v>-1.0</v>
      </c>
      <c r="F87" s="97">
        <v>917.0</v>
      </c>
      <c r="G87" s="95"/>
      <c r="H87" s="95"/>
      <c r="I87" s="97">
        <v>761.0</v>
      </c>
      <c r="J87" s="95"/>
      <c r="K87" s="95"/>
      <c r="L87" s="97">
        <v>2.3103955E7</v>
      </c>
      <c r="M87" s="95"/>
      <c r="N87" s="95"/>
      <c r="O87" s="95"/>
      <c r="P87" s="95"/>
      <c r="Q87" s="95"/>
      <c r="R87" s="95"/>
      <c r="S87" s="97"/>
      <c r="T87" s="97">
        <v>386.0</v>
      </c>
      <c r="U87" s="95"/>
      <c r="V87" s="95"/>
      <c r="W87" s="97">
        <v>2530000.0</v>
      </c>
      <c r="X87" s="95"/>
      <c r="Y87" s="100">
        <f t="shared" si="29"/>
        <v>5720000</v>
      </c>
      <c r="Z87" s="97">
        <v>6.8757432E7</v>
      </c>
      <c r="AA87" s="106">
        <v>4058910.0</v>
      </c>
      <c r="AB87" s="97">
        <v>85.0</v>
      </c>
      <c r="AC87" s="97">
        <v>510.0</v>
      </c>
      <c r="AD87" s="101">
        <v>450871.0</v>
      </c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</row>
    <row r="88" ht="36.0" customHeight="1">
      <c r="A88" s="90">
        <v>4.0</v>
      </c>
      <c r="B88" s="93">
        <f t="shared" si="28"/>
        <v>46279</v>
      </c>
      <c r="C88" s="94" t="s">
        <v>128</v>
      </c>
      <c r="D88" s="95">
        <v>0.0</v>
      </c>
      <c r="E88" s="95"/>
      <c r="F88" s="97">
        <v>874.0</v>
      </c>
      <c r="G88" s="95"/>
      <c r="H88" s="95"/>
      <c r="I88" s="97">
        <v>680.0</v>
      </c>
      <c r="J88" s="95"/>
      <c r="K88" s="95"/>
      <c r="L88" s="108">
        <v>1.559713E7</v>
      </c>
      <c r="M88" s="95"/>
      <c r="N88" s="95"/>
      <c r="O88" s="95"/>
      <c r="P88" s="95"/>
      <c r="Q88" s="95"/>
      <c r="R88" s="95"/>
      <c r="S88" s="97"/>
      <c r="T88" s="97">
        <v>275.0</v>
      </c>
      <c r="U88" s="95"/>
      <c r="V88" s="95"/>
      <c r="W88" s="97">
        <v>1030000.0</v>
      </c>
      <c r="X88" s="95"/>
      <c r="Y88" s="100">
        <f t="shared" si="29"/>
        <v>4115000</v>
      </c>
      <c r="Z88" s="109">
        <v>5.2382248E7</v>
      </c>
      <c r="AA88" s="109">
        <v>3707117.0</v>
      </c>
      <c r="AB88" s="97">
        <v>100.0</v>
      </c>
      <c r="AC88" s="97">
        <v>2.0</v>
      </c>
      <c r="AD88" s="101">
        <v>333970.0</v>
      </c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</row>
    <row r="89" ht="36.0" customHeight="1">
      <c r="A89" s="90"/>
      <c r="B89" s="93">
        <f t="shared" si="28"/>
        <v>46279</v>
      </c>
      <c r="C89" s="113" t="s">
        <v>105</v>
      </c>
      <c r="D89" s="95">
        <v>2.0</v>
      </c>
      <c r="E89" s="95">
        <v>8.0</v>
      </c>
      <c r="F89" s="97">
        <v>862.0</v>
      </c>
      <c r="G89" s="95"/>
      <c r="H89" s="95"/>
      <c r="I89" s="115">
        <v>694.0</v>
      </c>
      <c r="J89" s="117"/>
      <c r="K89" s="117"/>
      <c r="L89" s="109">
        <v>1.745001E7</v>
      </c>
      <c r="M89" s="95"/>
      <c r="N89" s="95"/>
      <c r="O89" s="95"/>
      <c r="P89" s="95"/>
      <c r="Q89" s="95"/>
      <c r="R89" s="95"/>
      <c r="S89" s="97"/>
      <c r="T89" s="97">
        <v>238.0</v>
      </c>
      <c r="U89" s="95"/>
      <c r="V89" s="95"/>
      <c r="W89" s="97">
        <v>570000.0</v>
      </c>
      <c r="X89" s="95"/>
      <c r="Y89" s="100">
        <f t="shared" si="29"/>
        <v>2780000</v>
      </c>
      <c r="Z89" s="109">
        <v>6.0477862E7</v>
      </c>
      <c r="AA89" s="109">
        <v>3501388.0</v>
      </c>
      <c r="AB89" s="97">
        <v>92.0</v>
      </c>
      <c r="AC89" s="97">
        <v>0.0</v>
      </c>
      <c r="AD89" s="101">
        <v>1186142.0</v>
      </c>
      <c r="AE89" s="196">
        <v>1.2413236E7</v>
      </c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197"/>
      <c r="AY89" s="197"/>
      <c r="AZ89" s="197"/>
      <c r="BA89" s="197"/>
    </row>
    <row r="90" ht="15.75" customHeight="1">
      <c r="A90" s="120" t="s">
        <v>96</v>
      </c>
      <c r="B90" s="14"/>
      <c r="C90" s="15"/>
      <c r="D90" s="121">
        <f t="shared" ref="D90:AD90" si="30">SUM(D85:D89)</f>
        <v>6</v>
      </c>
      <c r="E90" s="121">
        <f t="shared" si="30"/>
        <v>9</v>
      </c>
      <c r="F90" s="121">
        <f t="shared" si="30"/>
        <v>4328</v>
      </c>
      <c r="G90" s="121">
        <f t="shared" si="30"/>
        <v>0</v>
      </c>
      <c r="H90" s="121">
        <f t="shared" si="30"/>
        <v>0</v>
      </c>
      <c r="I90" s="121">
        <f t="shared" si="30"/>
        <v>3500</v>
      </c>
      <c r="J90" s="121">
        <f t="shared" si="30"/>
        <v>0</v>
      </c>
      <c r="K90" s="121">
        <f t="shared" si="30"/>
        <v>0</v>
      </c>
      <c r="L90" s="121">
        <f t="shared" si="30"/>
        <v>92057923</v>
      </c>
      <c r="M90" s="121">
        <f t="shared" si="30"/>
        <v>0</v>
      </c>
      <c r="N90" s="121">
        <f t="shared" si="30"/>
        <v>0</v>
      </c>
      <c r="O90" s="121">
        <f t="shared" si="30"/>
        <v>0</v>
      </c>
      <c r="P90" s="121">
        <f t="shared" si="30"/>
        <v>0</v>
      </c>
      <c r="Q90" s="121">
        <f t="shared" si="30"/>
        <v>0</v>
      </c>
      <c r="R90" s="121">
        <f t="shared" si="30"/>
        <v>0</v>
      </c>
      <c r="S90" s="121">
        <f t="shared" si="30"/>
        <v>0</v>
      </c>
      <c r="T90" s="121">
        <f t="shared" si="30"/>
        <v>1347</v>
      </c>
      <c r="U90" s="121">
        <f t="shared" si="30"/>
        <v>0</v>
      </c>
      <c r="V90" s="121">
        <f t="shared" si="30"/>
        <v>0</v>
      </c>
      <c r="W90" s="121">
        <f t="shared" si="30"/>
        <v>4823000</v>
      </c>
      <c r="X90" s="121">
        <f t="shared" si="30"/>
        <v>0</v>
      </c>
      <c r="Y90" s="121">
        <f t="shared" si="30"/>
        <v>16898000</v>
      </c>
      <c r="Z90" s="121">
        <f t="shared" si="30"/>
        <v>286655648</v>
      </c>
      <c r="AA90" s="121">
        <f t="shared" si="30"/>
        <v>18084146</v>
      </c>
      <c r="AB90" s="121">
        <f t="shared" si="30"/>
        <v>459</v>
      </c>
      <c r="AC90" s="121">
        <f t="shared" si="30"/>
        <v>4719</v>
      </c>
      <c r="AD90" s="121">
        <f t="shared" si="30"/>
        <v>4439819</v>
      </c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</row>
    <row r="91" ht="15.75" customHeight="1">
      <c r="A91" s="38"/>
      <c r="B91" s="38"/>
      <c r="C91" s="38" t="s">
        <v>50</v>
      </c>
      <c r="F91" s="133">
        <f>F82+1</f>
        <v>46280</v>
      </c>
      <c r="G91" s="23"/>
      <c r="H91" s="23"/>
      <c r="I91" s="23"/>
      <c r="K91" s="50">
        <f>F91</f>
        <v>46280</v>
      </c>
      <c r="L91" s="23"/>
      <c r="M91" s="23"/>
      <c r="N91" s="23"/>
      <c r="O91" s="23"/>
      <c r="P91" s="23"/>
      <c r="Q91" s="23"/>
      <c r="R91" s="23"/>
      <c r="S91" s="23"/>
      <c r="T91" s="23"/>
      <c r="W91" s="54"/>
      <c r="X91" s="54"/>
      <c r="Y91" s="54"/>
      <c r="Z91" s="54"/>
      <c r="AA91" s="56"/>
      <c r="AB91" s="54"/>
      <c r="AC91" s="54"/>
      <c r="AD91" s="54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</row>
    <row r="92" ht="15.75" customHeight="1">
      <c r="A92" s="60" t="s">
        <v>74</v>
      </c>
      <c r="B92" s="63" t="s">
        <v>78</v>
      </c>
      <c r="C92" s="65" t="s">
        <v>53</v>
      </c>
      <c r="D92" s="66" t="s">
        <v>58</v>
      </c>
      <c r="E92" s="15"/>
      <c r="F92" s="68" t="s">
        <v>81</v>
      </c>
      <c r="G92" s="70" t="s">
        <v>82</v>
      </c>
      <c r="H92" s="15"/>
      <c r="I92" s="68" t="s">
        <v>84</v>
      </c>
      <c r="J92" s="68" t="s">
        <v>85</v>
      </c>
      <c r="K92" s="68" t="s">
        <v>86</v>
      </c>
      <c r="L92" s="68" t="s">
        <v>66</v>
      </c>
      <c r="M92" s="68" t="s">
        <v>88</v>
      </c>
      <c r="N92" s="68" t="s">
        <v>89</v>
      </c>
      <c r="O92" s="72" t="s">
        <v>90</v>
      </c>
      <c r="P92" s="15"/>
      <c r="Q92" s="68" t="s">
        <v>92</v>
      </c>
      <c r="R92" s="68" t="s">
        <v>93</v>
      </c>
      <c r="S92" s="76" t="s">
        <v>147</v>
      </c>
      <c r="T92" s="77"/>
      <c r="U92" s="70" t="s">
        <v>95</v>
      </c>
      <c r="V92" s="15"/>
      <c r="W92" s="76" t="s">
        <v>97</v>
      </c>
      <c r="X92" s="77"/>
      <c r="Y92" s="68" t="s">
        <v>102</v>
      </c>
      <c r="Z92" s="68" t="s">
        <v>103</v>
      </c>
      <c r="AA92" s="68" t="s">
        <v>104</v>
      </c>
      <c r="AB92" s="68" t="s">
        <v>106</v>
      </c>
      <c r="AC92" s="68" t="s">
        <v>107</v>
      </c>
      <c r="AD92" s="81" t="s">
        <v>108</v>
      </c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</row>
    <row r="93" ht="30.75" customHeight="1">
      <c r="A93" s="25"/>
      <c r="B93" s="25"/>
      <c r="C93" s="25"/>
      <c r="D93" s="84" t="s">
        <v>109</v>
      </c>
      <c r="E93" s="84" t="s">
        <v>110</v>
      </c>
      <c r="F93" s="25"/>
      <c r="G93" s="84" t="s">
        <v>109</v>
      </c>
      <c r="H93" s="84" t="s">
        <v>110</v>
      </c>
      <c r="I93" s="25"/>
      <c r="J93" s="25"/>
      <c r="K93" s="25"/>
      <c r="L93" s="25"/>
      <c r="M93" s="25"/>
      <c r="N93" s="25"/>
      <c r="O93" s="85" t="s">
        <v>111</v>
      </c>
      <c r="P93" s="84" t="s">
        <v>112</v>
      </c>
      <c r="Q93" s="25"/>
      <c r="R93" s="25"/>
      <c r="S93" s="86"/>
      <c r="T93" s="87"/>
      <c r="U93" s="84" t="s">
        <v>113</v>
      </c>
      <c r="V93" s="84" t="s">
        <v>114</v>
      </c>
      <c r="W93" s="86"/>
      <c r="X93" s="87"/>
      <c r="Y93" s="25"/>
      <c r="Z93" s="25"/>
      <c r="AA93" s="25"/>
      <c r="AB93" s="25"/>
      <c r="AC93" s="25"/>
      <c r="AD93" s="25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</row>
    <row r="94" ht="36.0" customHeight="1">
      <c r="A94" s="90">
        <v>1.0</v>
      </c>
      <c r="B94" s="93">
        <f t="shared" ref="B94:B98" si="31">$F$91</f>
        <v>46280</v>
      </c>
      <c r="C94" s="94" t="s">
        <v>115</v>
      </c>
      <c r="D94" s="95"/>
      <c r="E94" s="95"/>
      <c r="F94" s="97">
        <v>774.0</v>
      </c>
      <c r="G94" s="95"/>
      <c r="H94" s="95"/>
      <c r="I94" s="97">
        <v>632.0</v>
      </c>
      <c r="J94" s="95"/>
      <c r="K94" s="95"/>
      <c r="L94" s="97">
        <v>1.9674009E7</v>
      </c>
      <c r="M94" s="95"/>
      <c r="N94" s="95"/>
      <c r="O94" s="95"/>
      <c r="P94" s="95"/>
      <c r="Q94" s="95"/>
      <c r="R94" s="95"/>
      <c r="S94" s="97"/>
      <c r="T94" s="97">
        <v>296.0</v>
      </c>
      <c r="U94" s="95"/>
      <c r="V94" s="95"/>
      <c r="W94" s="97">
        <v>100000.0</v>
      </c>
      <c r="X94" s="95"/>
      <c r="Y94" s="100">
        <f t="shared" ref="Y94:Y98" si="32">Y85+W94</f>
        <v>1960000</v>
      </c>
      <c r="Z94" s="97">
        <v>5.2686168E7</v>
      </c>
      <c r="AA94" s="97">
        <v>3492185.0</v>
      </c>
      <c r="AB94" s="97">
        <v>88.0</v>
      </c>
      <c r="AC94" s="97">
        <v>0.0</v>
      </c>
      <c r="AD94" s="101">
        <v>2109880.0</v>
      </c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</row>
    <row r="95" ht="36.0" customHeight="1">
      <c r="A95" s="90">
        <v>2.0</v>
      </c>
      <c r="B95" s="93">
        <f t="shared" si="31"/>
        <v>46280</v>
      </c>
      <c r="C95" s="94" t="s">
        <v>119</v>
      </c>
      <c r="D95" s="95"/>
      <c r="E95" s="95"/>
      <c r="F95" s="97">
        <v>903.0</v>
      </c>
      <c r="G95" s="95"/>
      <c r="H95" s="95"/>
      <c r="I95" s="97">
        <v>736.0</v>
      </c>
      <c r="J95" s="95"/>
      <c r="K95" s="95"/>
      <c r="L95" s="97">
        <v>1.6237613E7</v>
      </c>
      <c r="M95" s="95"/>
      <c r="N95" s="95"/>
      <c r="O95" s="95"/>
      <c r="P95" s="95"/>
      <c r="Q95" s="95"/>
      <c r="R95" s="95"/>
      <c r="S95" s="97"/>
      <c r="T95" s="97">
        <v>220.0</v>
      </c>
      <c r="U95" s="95"/>
      <c r="V95" s="95"/>
      <c r="W95" s="97">
        <v>840000.0</v>
      </c>
      <c r="X95" s="95"/>
      <c r="Y95" s="100">
        <f t="shared" si="32"/>
        <v>3263000</v>
      </c>
      <c r="Z95" s="97">
        <v>5.2586698E7</v>
      </c>
      <c r="AA95" s="97">
        <v>3239905.0</v>
      </c>
      <c r="AB95" s="97">
        <v>96.0</v>
      </c>
      <c r="AC95" s="97">
        <v>1017.0</v>
      </c>
      <c r="AD95" s="101">
        <v>244021.0</v>
      </c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</row>
    <row r="96" ht="36.0" customHeight="1">
      <c r="A96" s="90">
        <v>3.0</v>
      </c>
      <c r="B96" s="93">
        <f t="shared" si="31"/>
        <v>46280</v>
      </c>
      <c r="C96" s="94" t="s">
        <v>123</v>
      </c>
      <c r="D96" s="95">
        <v>2.0</v>
      </c>
      <c r="E96" s="95">
        <v>1.0</v>
      </c>
      <c r="F96" s="97">
        <v>917.0</v>
      </c>
      <c r="G96" s="95"/>
      <c r="H96" s="95"/>
      <c r="I96" s="97">
        <v>764.0</v>
      </c>
      <c r="J96" s="95"/>
      <c r="K96" s="95"/>
      <c r="L96" s="97">
        <v>2.3147593E7</v>
      </c>
      <c r="M96" s="95"/>
      <c r="N96" s="95"/>
      <c r="O96" s="95"/>
      <c r="P96" s="95"/>
      <c r="Q96" s="95"/>
      <c r="R96" s="95"/>
      <c r="S96" s="97"/>
      <c r="T96" s="97">
        <v>418.0</v>
      </c>
      <c r="U96" s="95"/>
      <c r="V96" s="95"/>
      <c r="W96" s="97">
        <v>750000.0</v>
      </c>
      <c r="X96" s="95"/>
      <c r="Y96" s="100">
        <f t="shared" si="32"/>
        <v>6470000</v>
      </c>
      <c r="Z96" s="97">
        <v>6.9185213E7</v>
      </c>
      <c r="AA96" s="106">
        <v>4096407.0</v>
      </c>
      <c r="AB96" s="97">
        <v>86.0</v>
      </c>
      <c r="AC96" s="97">
        <v>5.0</v>
      </c>
      <c r="AD96" s="101">
        <v>125591.0</v>
      </c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</row>
    <row r="97" ht="36.0" customHeight="1">
      <c r="A97" s="90">
        <v>4.0</v>
      </c>
      <c r="B97" s="93">
        <f t="shared" si="31"/>
        <v>46280</v>
      </c>
      <c r="C97" s="94" t="s">
        <v>128</v>
      </c>
      <c r="D97" s="95"/>
      <c r="E97" s="95"/>
      <c r="F97" s="97">
        <v>872.0</v>
      </c>
      <c r="G97" s="95"/>
      <c r="H97" s="95"/>
      <c r="I97" s="97">
        <v>680.0</v>
      </c>
      <c r="J97" s="95"/>
      <c r="K97" s="95"/>
      <c r="L97" s="108">
        <v>1.5604139E7</v>
      </c>
      <c r="M97" s="95"/>
      <c r="N97" s="95"/>
      <c r="O97" s="95"/>
      <c r="P97" s="95"/>
      <c r="Q97" s="95"/>
      <c r="R97" s="95"/>
      <c r="S97" s="97"/>
      <c r="T97" s="97">
        <v>325.0</v>
      </c>
      <c r="U97" s="95"/>
      <c r="V97" s="95"/>
      <c r="W97" s="97">
        <v>420000.0</v>
      </c>
      <c r="X97" s="95"/>
      <c r="Y97" s="100">
        <f t="shared" si="32"/>
        <v>4535000</v>
      </c>
      <c r="Z97" s="109">
        <v>5.2043734E7</v>
      </c>
      <c r="AA97" s="109">
        <v>3668494.0</v>
      </c>
      <c r="AB97" s="97">
        <v>100.0</v>
      </c>
      <c r="AC97" s="97">
        <v>25.0</v>
      </c>
      <c r="AD97" s="101">
        <v>751370.0</v>
      </c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</row>
    <row r="98" ht="36.0" customHeight="1">
      <c r="A98" s="90">
        <v>6.0</v>
      </c>
      <c r="B98" s="93">
        <f t="shared" si="31"/>
        <v>46280</v>
      </c>
      <c r="C98" s="113" t="s">
        <v>105</v>
      </c>
      <c r="D98" s="95">
        <v>2.0</v>
      </c>
      <c r="E98" s="95">
        <v>7.0</v>
      </c>
      <c r="F98" s="97">
        <v>865.0</v>
      </c>
      <c r="G98" s="95"/>
      <c r="H98" s="95"/>
      <c r="I98" s="115">
        <v>694.0</v>
      </c>
      <c r="J98" s="117"/>
      <c r="K98" s="117"/>
      <c r="L98" s="109">
        <v>1.752171E7</v>
      </c>
      <c r="M98" s="95"/>
      <c r="N98" s="95"/>
      <c r="O98" s="95"/>
      <c r="P98" s="95"/>
      <c r="Q98" s="95"/>
      <c r="R98" s="95"/>
      <c r="S98" s="97"/>
      <c r="T98" s="97">
        <v>260.0</v>
      </c>
      <c r="U98" s="95"/>
      <c r="V98" s="95"/>
      <c r="W98" s="97">
        <v>200000.0</v>
      </c>
      <c r="X98" s="95"/>
      <c r="Y98" s="100">
        <f t="shared" si="32"/>
        <v>2980000</v>
      </c>
      <c r="Z98" s="109">
        <v>6.0417813E7</v>
      </c>
      <c r="AA98" s="109">
        <v>3488550.0</v>
      </c>
      <c r="AB98" s="97">
        <v>96.0</v>
      </c>
      <c r="AC98" s="97">
        <v>55.0</v>
      </c>
      <c r="AD98" s="101">
        <v>1362402.0</v>
      </c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</row>
    <row r="99" ht="15.75" customHeight="1">
      <c r="A99" s="120" t="s">
        <v>96</v>
      </c>
      <c r="B99" s="14"/>
      <c r="C99" s="15"/>
      <c r="D99" s="121">
        <f t="shared" ref="D99:AD99" si="33">SUM(D94:D98)</f>
        <v>4</v>
      </c>
      <c r="E99" s="121">
        <f t="shared" si="33"/>
        <v>8</v>
      </c>
      <c r="F99" s="121">
        <f t="shared" si="33"/>
        <v>4331</v>
      </c>
      <c r="G99" s="121">
        <f t="shared" si="33"/>
        <v>0</v>
      </c>
      <c r="H99" s="121">
        <f t="shared" si="33"/>
        <v>0</v>
      </c>
      <c r="I99" s="121">
        <f t="shared" si="33"/>
        <v>3506</v>
      </c>
      <c r="J99" s="121">
        <f t="shared" si="33"/>
        <v>0</v>
      </c>
      <c r="K99" s="121">
        <f t="shared" si="33"/>
        <v>0</v>
      </c>
      <c r="L99" s="121">
        <f t="shared" si="33"/>
        <v>92185064</v>
      </c>
      <c r="M99" s="121">
        <f t="shared" si="33"/>
        <v>0</v>
      </c>
      <c r="N99" s="121">
        <f t="shared" si="33"/>
        <v>0</v>
      </c>
      <c r="O99" s="121">
        <f t="shared" si="33"/>
        <v>0</v>
      </c>
      <c r="P99" s="121">
        <f t="shared" si="33"/>
        <v>0</v>
      </c>
      <c r="Q99" s="121">
        <f t="shared" si="33"/>
        <v>0</v>
      </c>
      <c r="R99" s="121">
        <f t="shared" si="33"/>
        <v>0</v>
      </c>
      <c r="S99" s="121">
        <f t="shared" si="33"/>
        <v>0</v>
      </c>
      <c r="T99" s="121">
        <f t="shared" si="33"/>
        <v>1519</v>
      </c>
      <c r="U99" s="121">
        <f t="shared" si="33"/>
        <v>0</v>
      </c>
      <c r="V99" s="121">
        <f t="shared" si="33"/>
        <v>0</v>
      </c>
      <c r="W99" s="121">
        <f t="shared" si="33"/>
        <v>2310000</v>
      </c>
      <c r="X99" s="121">
        <f t="shared" si="33"/>
        <v>0</v>
      </c>
      <c r="Y99" s="121">
        <f t="shared" si="33"/>
        <v>19208000</v>
      </c>
      <c r="Z99" s="121">
        <f t="shared" si="33"/>
        <v>286919626</v>
      </c>
      <c r="AA99" s="121">
        <f t="shared" si="33"/>
        <v>17985541</v>
      </c>
      <c r="AB99" s="121">
        <f t="shared" si="33"/>
        <v>466</v>
      </c>
      <c r="AC99" s="121">
        <f t="shared" si="33"/>
        <v>1102</v>
      </c>
      <c r="AD99" s="121">
        <f t="shared" si="33"/>
        <v>4593264</v>
      </c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</row>
    <row r="100" ht="15.75" customHeight="1">
      <c r="A100" s="38"/>
      <c r="B100" s="38"/>
      <c r="C100" s="38" t="s">
        <v>50</v>
      </c>
      <c r="F100" s="133">
        <f>F91+1</f>
        <v>46281</v>
      </c>
      <c r="G100" s="23"/>
      <c r="H100" s="23"/>
      <c r="I100" s="23"/>
      <c r="K100" s="50">
        <f>F100</f>
        <v>46281</v>
      </c>
      <c r="L100" s="23"/>
      <c r="M100" s="23"/>
      <c r="N100" s="23"/>
      <c r="O100" s="23"/>
      <c r="P100" s="23"/>
      <c r="Q100" s="23"/>
      <c r="R100" s="23"/>
      <c r="S100" s="23"/>
      <c r="T100" s="23"/>
      <c r="W100" s="54"/>
      <c r="X100" s="54"/>
      <c r="Y100" s="54"/>
      <c r="Z100" s="54"/>
      <c r="AA100" s="56"/>
      <c r="AB100" s="54"/>
      <c r="AC100" s="54"/>
      <c r="AD100" s="54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</row>
    <row r="101" ht="15.75" customHeight="1">
      <c r="A101" s="60" t="s">
        <v>74</v>
      </c>
      <c r="B101" s="63" t="s">
        <v>78</v>
      </c>
      <c r="C101" s="65" t="s">
        <v>53</v>
      </c>
      <c r="D101" s="66" t="s">
        <v>58</v>
      </c>
      <c r="E101" s="15"/>
      <c r="F101" s="68" t="s">
        <v>81</v>
      </c>
      <c r="G101" s="70" t="s">
        <v>82</v>
      </c>
      <c r="H101" s="15"/>
      <c r="I101" s="68" t="s">
        <v>84</v>
      </c>
      <c r="J101" s="68" t="s">
        <v>85</v>
      </c>
      <c r="K101" s="68" t="s">
        <v>86</v>
      </c>
      <c r="L101" s="68" t="s">
        <v>66</v>
      </c>
      <c r="M101" s="68" t="s">
        <v>88</v>
      </c>
      <c r="N101" s="68" t="s">
        <v>89</v>
      </c>
      <c r="O101" s="72" t="s">
        <v>90</v>
      </c>
      <c r="P101" s="15"/>
      <c r="Q101" s="68" t="s">
        <v>92</v>
      </c>
      <c r="R101" s="68" t="s">
        <v>93</v>
      </c>
      <c r="S101" s="76" t="s">
        <v>147</v>
      </c>
      <c r="T101" s="77"/>
      <c r="U101" s="70" t="s">
        <v>95</v>
      </c>
      <c r="V101" s="15"/>
      <c r="W101" s="76" t="s">
        <v>97</v>
      </c>
      <c r="X101" s="77"/>
      <c r="Y101" s="68" t="s">
        <v>102</v>
      </c>
      <c r="Z101" s="68" t="s">
        <v>103</v>
      </c>
      <c r="AA101" s="68" t="s">
        <v>104</v>
      </c>
      <c r="AB101" s="68" t="s">
        <v>106</v>
      </c>
      <c r="AC101" s="68" t="s">
        <v>107</v>
      </c>
      <c r="AD101" s="81" t="s">
        <v>108</v>
      </c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</row>
    <row r="102" ht="26.25" customHeight="1">
      <c r="A102" s="25"/>
      <c r="B102" s="25"/>
      <c r="C102" s="25"/>
      <c r="D102" s="84" t="s">
        <v>109</v>
      </c>
      <c r="E102" s="84" t="s">
        <v>110</v>
      </c>
      <c r="F102" s="25"/>
      <c r="G102" s="84" t="s">
        <v>109</v>
      </c>
      <c r="H102" s="84" t="s">
        <v>110</v>
      </c>
      <c r="I102" s="25"/>
      <c r="J102" s="25"/>
      <c r="K102" s="25"/>
      <c r="L102" s="25"/>
      <c r="M102" s="25"/>
      <c r="N102" s="25"/>
      <c r="O102" s="85" t="s">
        <v>111</v>
      </c>
      <c r="P102" s="84" t="s">
        <v>112</v>
      </c>
      <c r="Q102" s="25"/>
      <c r="R102" s="25"/>
      <c r="S102" s="86"/>
      <c r="T102" s="87"/>
      <c r="U102" s="84" t="s">
        <v>113</v>
      </c>
      <c r="V102" s="84" t="s">
        <v>114</v>
      </c>
      <c r="W102" s="86"/>
      <c r="X102" s="87"/>
      <c r="Y102" s="25"/>
      <c r="Z102" s="25"/>
      <c r="AA102" s="25"/>
      <c r="AB102" s="25"/>
      <c r="AC102" s="25"/>
      <c r="AD102" s="25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</row>
    <row r="103" ht="36.0" customHeight="1">
      <c r="A103" s="90">
        <v>1.0</v>
      </c>
      <c r="B103" s="93">
        <f t="shared" ref="B103:B107" si="34">$F$100</f>
        <v>46281</v>
      </c>
      <c r="C103" s="94" t="s">
        <v>115</v>
      </c>
      <c r="D103" s="95"/>
      <c r="E103" s="95"/>
      <c r="F103" s="97">
        <v>773.0</v>
      </c>
      <c r="G103" s="95"/>
      <c r="H103" s="95"/>
      <c r="I103" s="97">
        <v>630.0</v>
      </c>
      <c r="J103" s="95"/>
      <c r="K103" s="95"/>
      <c r="L103" s="97">
        <v>1.9679421E7</v>
      </c>
      <c r="M103" s="95"/>
      <c r="N103" s="95"/>
      <c r="O103" s="95"/>
      <c r="P103" s="95"/>
      <c r="Q103" s="95"/>
      <c r="R103" s="95"/>
      <c r="S103" s="97"/>
      <c r="T103" s="97">
        <v>327.0</v>
      </c>
      <c r="U103" s="95"/>
      <c r="V103" s="95"/>
      <c r="W103" s="97">
        <v>2100000.0</v>
      </c>
      <c r="X103" s="95"/>
      <c r="Y103" s="100">
        <f t="shared" ref="Y103:Y107" si="35">Y94+W103</f>
        <v>4060000</v>
      </c>
      <c r="Z103" s="97">
        <v>5.4315197E7</v>
      </c>
      <c r="AA103" s="97">
        <v>3525421.0</v>
      </c>
      <c r="AB103" s="97">
        <v>80.0</v>
      </c>
      <c r="AC103" s="97">
        <v>0.0</v>
      </c>
      <c r="AD103" s="101">
        <v>558980.0</v>
      </c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</row>
    <row r="104" ht="36.0" customHeight="1">
      <c r="A104" s="90">
        <v>2.0</v>
      </c>
      <c r="B104" s="93">
        <f t="shared" si="34"/>
        <v>46281</v>
      </c>
      <c r="C104" s="94" t="s">
        <v>119</v>
      </c>
      <c r="D104" s="95"/>
      <c r="E104" s="95"/>
      <c r="F104" s="97">
        <v>902.0</v>
      </c>
      <c r="G104" s="95"/>
      <c r="H104" s="95"/>
      <c r="I104" s="97">
        <v>735.0</v>
      </c>
      <c r="J104" s="95"/>
      <c r="K104" s="95"/>
      <c r="L104" s="97">
        <v>1.6240723E7</v>
      </c>
      <c r="M104" s="95"/>
      <c r="N104" s="95"/>
      <c r="O104" s="95"/>
      <c r="P104" s="95"/>
      <c r="Q104" s="95"/>
      <c r="R104" s="95"/>
      <c r="S104" s="97"/>
      <c r="T104" s="97">
        <v>243.0</v>
      </c>
      <c r="U104" s="95"/>
      <c r="V104" s="95"/>
      <c r="W104" s="97">
        <v>550000.0</v>
      </c>
      <c r="X104" s="95"/>
      <c r="Y104" s="100">
        <f t="shared" si="35"/>
        <v>3813000</v>
      </c>
      <c r="Z104" s="97">
        <v>5.2883675E7</v>
      </c>
      <c r="AA104" s="97">
        <v>3293413.0</v>
      </c>
      <c r="AB104" s="97">
        <v>96.0</v>
      </c>
      <c r="AC104" s="97">
        <v>139.0</v>
      </c>
      <c r="AD104" s="101">
        <v>297521.0</v>
      </c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  <c r="AX104" s="102"/>
      <c r="AY104" s="102"/>
      <c r="AZ104" s="102"/>
      <c r="BA104" s="102"/>
    </row>
    <row r="105" ht="36.0" customHeight="1">
      <c r="A105" s="90">
        <v>3.0</v>
      </c>
      <c r="B105" s="93">
        <f t="shared" si="34"/>
        <v>46281</v>
      </c>
      <c r="C105" s="94" t="s">
        <v>123</v>
      </c>
      <c r="D105" s="95">
        <v>2.0</v>
      </c>
      <c r="E105" s="95">
        <v>3.0</v>
      </c>
      <c r="F105" s="97">
        <v>916.0</v>
      </c>
      <c r="G105" s="95"/>
      <c r="H105" s="95"/>
      <c r="I105" s="97">
        <v>767.0</v>
      </c>
      <c r="J105" s="95"/>
      <c r="K105" s="95"/>
      <c r="L105" s="97">
        <v>2.3150907E7</v>
      </c>
      <c r="M105" s="95"/>
      <c r="N105" s="95"/>
      <c r="O105" s="95"/>
      <c r="P105" s="95"/>
      <c r="Q105" s="95"/>
      <c r="R105" s="95"/>
      <c r="S105" s="97"/>
      <c r="T105" s="97">
        <v>445.0</v>
      </c>
      <c r="U105" s="95"/>
      <c r="V105" s="95"/>
      <c r="W105" s="97">
        <v>661000.0</v>
      </c>
      <c r="X105" s="95"/>
      <c r="Y105" s="100">
        <f t="shared" si="35"/>
        <v>7131000</v>
      </c>
      <c r="Z105" s="97">
        <v>6.9584743E7</v>
      </c>
      <c r="AA105" s="106">
        <v>4156930.0</v>
      </c>
      <c r="AB105" s="97">
        <v>86.0</v>
      </c>
      <c r="AC105" s="97">
        <v>243.0</v>
      </c>
      <c r="AD105" s="101">
        <v>173691.0</v>
      </c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2"/>
    </row>
    <row r="106" ht="36.0" customHeight="1">
      <c r="A106" s="90">
        <v>4.0</v>
      </c>
      <c r="B106" s="93">
        <f t="shared" si="34"/>
        <v>46281</v>
      </c>
      <c r="C106" s="94" t="s">
        <v>128</v>
      </c>
      <c r="D106" s="95"/>
      <c r="E106" s="95"/>
      <c r="F106" s="97">
        <v>876.0</v>
      </c>
      <c r="G106" s="95"/>
      <c r="H106" s="95"/>
      <c r="I106" s="97">
        <v>680.0</v>
      </c>
      <c r="J106" s="95"/>
      <c r="K106" s="95"/>
      <c r="L106" s="108">
        <v>1.5599893E7</v>
      </c>
      <c r="M106" s="95"/>
      <c r="N106" s="95"/>
      <c r="O106" s="95"/>
      <c r="P106" s="95"/>
      <c r="Q106" s="95"/>
      <c r="R106" s="95"/>
      <c r="S106" s="97"/>
      <c r="T106" s="97">
        <v>360.0</v>
      </c>
      <c r="U106" s="95"/>
      <c r="V106" s="95"/>
      <c r="W106" s="97">
        <v>110000.0</v>
      </c>
      <c r="X106" s="95"/>
      <c r="Y106" s="100">
        <f t="shared" si="35"/>
        <v>4645000</v>
      </c>
      <c r="Z106" s="109">
        <v>5.1762778E7</v>
      </c>
      <c r="AA106" s="109">
        <v>3690819.0</v>
      </c>
      <c r="AB106" s="97">
        <v>100.0</v>
      </c>
      <c r="AC106" s="97">
        <v>175.0</v>
      </c>
      <c r="AD106" s="101">
        <v>393840.0</v>
      </c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2"/>
    </row>
    <row r="107" ht="36.0" customHeight="1">
      <c r="A107" s="90">
        <v>6.0</v>
      </c>
      <c r="B107" s="93">
        <f t="shared" si="34"/>
        <v>46281</v>
      </c>
      <c r="C107" s="113" t="s">
        <v>105</v>
      </c>
      <c r="D107" s="95">
        <v>2.0</v>
      </c>
      <c r="E107" s="95">
        <v>6.0</v>
      </c>
      <c r="F107" s="97">
        <v>863.0</v>
      </c>
      <c r="G107" s="95"/>
      <c r="H107" s="95"/>
      <c r="I107" s="115">
        <v>697.0</v>
      </c>
      <c r="J107" s="117"/>
      <c r="K107" s="117"/>
      <c r="L107" s="109">
        <v>1.7568646E7</v>
      </c>
      <c r="M107" s="95"/>
      <c r="N107" s="95"/>
      <c r="O107" s="95"/>
      <c r="P107" s="95"/>
      <c r="Q107" s="95"/>
      <c r="R107" s="95"/>
      <c r="S107" s="97"/>
      <c r="T107" s="97">
        <v>283.0</v>
      </c>
      <c r="U107" s="95"/>
      <c r="V107" s="95"/>
      <c r="W107" s="97">
        <v>1050000.0</v>
      </c>
      <c r="X107" s="95"/>
      <c r="Y107" s="100">
        <f t="shared" si="35"/>
        <v>4030000</v>
      </c>
      <c r="Z107" s="109">
        <v>6.1193852E7</v>
      </c>
      <c r="AA107" s="109">
        <v>3524849.0</v>
      </c>
      <c r="AB107" s="97">
        <v>98.0</v>
      </c>
      <c r="AC107" s="97">
        <v>84.0</v>
      </c>
      <c r="AD107" s="101">
        <v>692642.0</v>
      </c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</row>
    <row r="108" ht="15.75" customHeight="1">
      <c r="A108" s="220" t="s">
        <v>96</v>
      </c>
      <c r="B108" s="14"/>
      <c r="C108" s="15"/>
      <c r="D108" s="121">
        <f t="shared" ref="D108:AD108" si="36">SUM(D103:D107)</f>
        <v>4</v>
      </c>
      <c r="E108" s="121">
        <f t="shared" si="36"/>
        <v>9</v>
      </c>
      <c r="F108" s="121">
        <f t="shared" si="36"/>
        <v>4330</v>
      </c>
      <c r="G108" s="121">
        <f t="shared" si="36"/>
        <v>0</v>
      </c>
      <c r="H108" s="121">
        <f t="shared" si="36"/>
        <v>0</v>
      </c>
      <c r="I108" s="121">
        <f t="shared" si="36"/>
        <v>3509</v>
      </c>
      <c r="J108" s="121">
        <f t="shared" si="36"/>
        <v>0</v>
      </c>
      <c r="K108" s="121">
        <f t="shared" si="36"/>
        <v>0</v>
      </c>
      <c r="L108" s="121">
        <f t="shared" si="36"/>
        <v>92239590</v>
      </c>
      <c r="M108" s="121">
        <f t="shared" si="36"/>
        <v>0</v>
      </c>
      <c r="N108" s="121">
        <f t="shared" si="36"/>
        <v>0</v>
      </c>
      <c r="O108" s="121">
        <f t="shared" si="36"/>
        <v>0</v>
      </c>
      <c r="P108" s="121">
        <f t="shared" si="36"/>
        <v>0</v>
      </c>
      <c r="Q108" s="121">
        <f t="shared" si="36"/>
        <v>0</v>
      </c>
      <c r="R108" s="121">
        <f t="shared" si="36"/>
        <v>0</v>
      </c>
      <c r="S108" s="121">
        <f t="shared" si="36"/>
        <v>0</v>
      </c>
      <c r="T108" s="121">
        <f t="shared" si="36"/>
        <v>1658</v>
      </c>
      <c r="U108" s="121">
        <f t="shared" si="36"/>
        <v>0</v>
      </c>
      <c r="V108" s="121">
        <f t="shared" si="36"/>
        <v>0</v>
      </c>
      <c r="W108" s="121">
        <f t="shared" si="36"/>
        <v>4471000</v>
      </c>
      <c r="X108" s="121">
        <f t="shared" si="36"/>
        <v>0</v>
      </c>
      <c r="Y108" s="121">
        <f t="shared" si="36"/>
        <v>23679000</v>
      </c>
      <c r="Z108" s="121">
        <f t="shared" si="36"/>
        <v>289740245</v>
      </c>
      <c r="AA108" s="121">
        <f t="shared" si="36"/>
        <v>18191432</v>
      </c>
      <c r="AB108" s="121">
        <f t="shared" si="36"/>
        <v>460</v>
      </c>
      <c r="AC108" s="121">
        <f t="shared" si="36"/>
        <v>641</v>
      </c>
      <c r="AD108" s="121">
        <f t="shared" si="36"/>
        <v>2116674</v>
      </c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2"/>
    </row>
    <row r="109" ht="15.75" customHeight="1">
      <c r="A109" s="38"/>
      <c r="B109" s="38"/>
      <c r="C109" s="38" t="s">
        <v>50</v>
      </c>
      <c r="F109" s="133">
        <f>F100+1</f>
        <v>46282</v>
      </c>
      <c r="G109" s="23"/>
      <c r="H109" s="23"/>
      <c r="I109" s="23"/>
      <c r="K109" s="50">
        <f>F109</f>
        <v>46282</v>
      </c>
      <c r="L109" s="23"/>
      <c r="M109" s="23"/>
      <c r="N109" s="23"/>
      <c r="O109" s="23"/>
      <c r="P109" s="23"/>
      <c r="Q109" s="23"/>
      <c r="R109" s="23"/>
      <c r="S109" s="23"/>
      <c r="T109" s="23"/>
      <c r="W109" s="54"/>
      <c r="X109" s="54"/>
      <c r="Y109" s="54"/>
      <c r="Z109" s="54"/>
      <c r="AA109" s="56"/>
      <c r="AB109" s="54"/>
      <c r="AC109" s="54"/>
      <c r="AD109" s="54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</row>
    <row r="110" ht="15.75" customHeight="1">
      <c r="A110" s="60" t="s">
        <v>74</v>
      </c>
      <c r="B110" s="63" t="s">
        <v>78</v>
      </c>
      <c r="C110" s="65" t="s">
        <v>53</v>
      </c>
      <c r="D110" s="66" t="s">
        <v>58</v>
      </c>
      <c r="E110" s="15"/>
      <c r="F110" s="68" t="s">
        <v>81</v>
      </c>
      <c r="G110" s="70" t="s">
        <v>82</v>
      </c>
      <c r="H110" s="15"/>
      <c r="I110" s="68" t="s">
        <v>84</v>
      </c>
      <c r="J110" s="68" t="s">
        <v>85</v>
      </c>
      <c r="K110" s="68" t="s">
        <v>86</v>
      </c>
      <c r="L110" s="68" t="s">
        <v>66</v>
      </c>
      <c r="M110" s="68" t="s">
        <v>88</v>
      </c>
      <c r="N110" s="68" t="s">
        <v>89</v>
      </c>
      <c r="O110" s="72" t="s">
        <v>90</v>
      </c>
      <c r="P110" s="15"/>
      <c r="Q110" s="68" t="s">
        <v>92</v>
      </c>
      <c r="R110" s="68" t="s">
        <v>93</v>
      </c>
      <c r="S110" s="76" t="s">
        <v>147</v>
      </c>
      <c r="T110" s="77"/>
      <c r="U110" s="70" t="s">
        <v>95</v>
      </c>
      <c r="V110" s="15"/>
      <c r="W110" s="76" t="s">
        <v>97</v>
      </c>
      <c r="X110" s="77"/>
      <c r="Y110" s="68" t="s">
        <v>102</v>
      </c>
      <c r="Z110" s="68" t="s">
        <v>103</v>
      </c>
      <c r="AA110" s="68" t="s">
        <v>104</v>
      </c>
      <c r="AB110" s="68" t="s">
        <v>106</v>
      </c>
      <c r="AC110" s="68" t="s">
        <v>107</v>
      </c>
      <c r="AD110" s="81" t="s">
        <v>108</v>
      </c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</row>
    <row r="111" ht="27.0" customHeight="1">
      <c r="A111" s="25"/>
      <c r="B111" s="25"/>
      <c r="C111" s="25"/>
      <c r="D111" s="84" t="s">
        <v>109</v>
      </c>
      <c r="E111" s="84" t="s">
        <v>110</v>
      </c>
      <c r="F111" s="25"/>
      <c r="G111" s="84" t="s">
        <v>109</v>
      </c>
      <c r="H111" s="84" t="s">
        <v>110</v>
      </c>
      <c r="I111" s="25"/>
      <c r="J111" s="25"/>
      <c r="K111" s="25"/>
      <c r="L111" s="25"/>
      <c r="M111" s="25"/>
      <c r="N111" s="25"/>
      <c r="O111" s="85" t="s">
        <v>111</v>
      </c>
      <c r="P111" s="84" t="s">
        <v>112</v>
      </c>
      <c r="Q111" s="25"/>
      <c r="R111" s="25"/>
      <c r="S111" s="86"/>
      <c r="T111" s="87"/>
      <c r="U111" s="84" t="s">
        <v>113</v>
      </c>
      <c r="V111" s="84" t="s">
        <v>114</v>
      </c>
      <c r="W111" s="86"/>
      <c r="X111" s="87"/>
      <c r="Y111" s="25"/>
      <c r="Z111" s="25"/>
      <c r="AA111" s="25"/>
      <c r="AB111" s="25"/>
      <c r="AC111" s="25"/>
      <c r="AD111" s="25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</row>
    <row r="112" ht="36.0" customHeight="1">
      <c r="A112" s="90">
        <v>1.0</v>
      </c>
      <c r="B112" s="93">
        <f t="shared" ref="B112:B116" si="37">$F$109</f>
        <v>46282</v>
      </c>
      <c r="C112" s="94" t="s">
        <v>115</v>
      </c>
      <c r="D112" s="95"/>
      <c r="E112" s="95"/>
      <c r="F112" s="97">
        <v>775.0</v>
      </c>
      <c r="G112" s="95"/>
      <c r="H112" s="95"/>
      <c r="I112" s="97">
        <v>632.0</v>
      </c>
      <c r="J112" s="95"/>
      <c r="K112" s="95"/>
      <c r="L112" s="97">
        <v>1.9718042E7</v>
      </c>
      <c r="M112" s="95"/>
      <c r="N112" s="95"/>
      <c r="O112" s="95"/>
      <c r="P112" s="95"/>
      <c r="Q112" s="95"/>
      <c r="R112" s="95"/>
      <c r="S112" s="97"/>
      <c r="T112" s="97">
        <v>352.0</v>
      </c>
      <c r="U112" s="95"/>
      <c r="V112" s="95"/>
      <c r="W112" s="97">
        <v>350000.0</v>
      </c>
      <c r="X112" s="95"/>
      <c r="Y112" s="100">
        <f t="shared" ref="Y112:Y116" si="38">Y103+W112</f>
        <v>4410000</v>
      </c>
      <c r="Z112" s="97">
        <v>5.4430597E7</v>
      </c>
      <c r="AA112" s="97">
        <v>3585584.0</v>
      </c>
      <c r="AB112" s="97">
        <v>89.0</v>
      </c>
      <c r="AC112" s="97">
        <v>0.0</v>
      </c>
      <c r="AD112" s="101">
        <v>526607.0</v>
      </c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</row>
    <row r="113" ht="36.0" customHeight="1">
      <c r="A113" s="90">
        <v>2.0</v>
      </c>
      <c r="B113" s="93">
        <f t="shared" si="37"/>
        <v>46282</v>
      </c>
      <c r="C113" s="94" t="s">
        <v>119</v>
      </c>
      <c r="D113" s="95"/>
      <c r="E113" s="95"/>
      <c r="F113" s="97">
        <v>905.0</v>
      </c>
      <c r="G113" s="95"/>
      <c r="H113" s="95"/>
      <c r="I113" s="97">
        <v>734.0</v>
      </c>
      <c r="J113" s="95"/>
      <c r="K113" s="95"/>
      <c r="L113" s="97">
        <v>1.6278535E7</v>
      </c>
      <c r="M113" s="95"/>
      <c r="N113" s="95"/>
      <c r="O113" s="95"/>
      <c r="P113" s="95"/>
      <c r="Q113" s="95"/>
      <c r="R113" s="95"/>
      <c r="S113" s="97"/>
      <c r="T113" s="97">
        <v>268.0</v>
      </c>
      <c r="U113" s="95"/>
      <c r="V113" s="95"/>
      <c r="W113" s="97">
        <v>0.0</v>
      </c>
      <c r="X113" s="95"/>
      <c r="Y113" s="100">
        <f t="shared" si="38"/>
        <v>3813000</v>
      </c>
      <c r="Z113" s="97">
        <v>5.2584052E7</v>
      </c>
      <c r="AA113" s="97">
        <v>3251620.0</v>
      </c>
      <c r="AB113" s="97">
        <v>96.0</v>
      </c>
      <c r="AC113" s="97">
        <v>715.0</v>
      </c>
      <c r="AD113" s="101">
        <v>687281.0</v>
      </c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2"/>
    </row>
    <row r="114" ht="36.0" customHeight="1">
      <c r="A114" s="90">
        <v>3.0</v>
      </c>
      <c r="B114" s="93">
        <f t="shared" si="37"/>
        <v>46282</v>
      </c>
      <c r="C114" s="94" t="s">
        <v>123</v>
      </c>
      <c r="D114" s="95">
        <v>2.0</v>
      </c>
      <c r="E114" s="95">
        <v>0.0</v>
      </c>
      <c r="F114" s="97">
        <v>916.0</v>
      </c>
      <c r="G114" s="95"/>
      <c r="H114" s="95"/>
      <c r="I114" s="97">
        <v>769.0</v>
      </c>
      <c r="J114" s="95"/>
      <c r="K114" s="95"/>
      <c r="L114" s="97">
        <v>2.3193731E7</v>
      </c>
      <c r="M114" s="95"/>
      <c r="N114" s="95"/>
      <c r="O114" s="95"/>
      <c r="P114" s="95"/>
      <c r="Q114" s="95"/>
      <c r="R114" s="95"/>
      <c r="S114" s="97"/>
      <c r="T114" s="97">
        <v>472.0</v>
      </c>
      <c r="U114" s="95"/>
      <c r="V114" s="95"/>
      <c r="W114" s="97">
        <v>355000.0</v>
      </c>
      <c r="X114" s="95"/>
      <c r="Y114" s="100">
        <f t="shared" si="38"/>
        <v>7486000</v>
      </c>
      <c r="Z114" s="97">
        <v>6.9572029E7</v>
      </c>
      <c r="AA114" s="106">
        <v>4205979.0</v>
      </c>
      <c r="AB114" s="97">
        <v>86.0</v>
      </c>
      <c r="AC114" s="97">
        <v>10.0</v>
      </c>
      <c r="AD114" s="101">
        <v>285884.0</v>
      </c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2"/>
    </row>
    <row r="115" ht="36.0" customHeight="1">
      <c r="A115" s="90">
        <v>4.0</v>
      </c>
      <c r="B115" s="93">
        <f t="shared" si="37"/>
        <v>46282</v>
      </c>
      <c r="C115" s="94" t="s">
        <v>128</v>
      </c>
      <c r="D115" s="95"/>
      <c r="E115" s="95"/>
      <c r="F115" s="97">
        <v>876.0</v>
      </c>
      <c r="G115" s="95"/>
      <c r="H115" s="95"/>
      <c r="I115" s="97">
        <v>679.0</v>
      </c>
      <c r="J115" s="95"/>
      <c r="K115" s="95"/>
      <c r="L115" s="108">
        <v>1.5624809E7</v>
      </c>
      <c r="M115" s="95"/>
      <c r="N115" s="95"/>
      <c r="O115" s="95"/>
      <c r="P115" s="95"/>
      <c r="Q115" s="95"/>
      <c r="R115" s="95"/>
      <c r="S115" s="97"/>
      <c r="T115" s="97">
        <v>390.0</v>
      </c>
      <c r="U115" s="95"/>
      <c r="V115" s="95"/>
      <c r="W115" s="97"/>
      <c r="X115" s="95"/>
      <c r="Y115" s="100">
        <f t="shared" si="38"/>
        <v>4645000</v>
      </c>
      <c r="Z115" s="109">
        <v>5.1481496E7</v>
      </c>
      <c r="AA115" s="109">
        <v>3577423.0</v>
      </c>
      <c r="AB115" s="97">
        <v>100.0</v>
      </c>
      <c r="AC115" s="97">
        <v>177.0</v>
      </c>
      <c r="AD115" s="101">
        <v>741090.0</v>
      </c>
      <c r="AE115" s="233">
        <v>3168565.0</v>
      </c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</row>
    <row r="116" ht="36.0" customHeight="1">
      <c r="A116" s="90">
        <v>6.0</v>
      </c>
      <c r="B116" s="93">
        <f t="shared" si="37"/>
        <v>46282</v>
      </c>
      <c r="C116" s="113" t="s">
        <v>105</v>
      </c>
      <c r="D116" s="95">
        <v>2.0</v>
      </c>
      <c r="E116" s="95">
        <v>2.0</v>
      </c>
      <c r="F116" s="97">
        <v>864.0</v>
      </c>
      <c r="G116" s="95"/>
      <c r="H116" s="95"/>
      <c r="I116" s="115">
        <v>699.0</v>
      </c>
      <c r="J116" s="117"/>
      <c r="K116" s="117"/>
      <c r="L116" s="109">
        <v>1.7591452E7</v>
      </c>
      <c r="M116" s="95"/>
      <c r="N116" s="95"/>
      <c r="O116" s="95"/>
      <c r="P116" s="95"/>
      <c r="Q116" s="95"/>
      <c r="R116" s="95"/>
      <c r="S116" s="97"/>
      <c r="T116" s="97">
        <v>304.0</v>
      </c>
      <c r="U116" s="95"/>
      <c r="V116" s="95"/>
      <c r="W116" s="97">
        <v>250000.0</v>
      </c>
      <c r="X116" s="95"/>
      <c r="Y116" s="100">
        <f t="shared" si="38"/>
        <v>4280000</v>
      </c>
      <c r="Z116" s="109">
        <v>6.120662E7</v>
      </c>
      <c r="AA116" s="109">
        <v>3656850.0</v>
      </c>
      <c r="AB116" s="97">
        <v>100.0</v>
      </c>
      <c r="AC116" s="97">
        <v>77.0</v>
      </c>
      <c r="AD116" s="101">
        <v>748922.0</v>
      </c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</row>
    <row r="117" ht="15.75" customHeight="1">
      <c r="A117" s="120" t="s">
        <v>96</v>
      </c>
      <c r="B117" s="14"/>
      <c r="C117" s="15"/>
      <c r="D117" s="121">
        <f t="shared" ref="D117:AD117" si="39">SUM(D112:D116)</f>
        <v>4</v>
      </c>
      <c r="E117" s="121">
        <f t="shared" si="39"/>
        <v>2</v>
      </c>
      <c r="F117" s="121">
        <f t="shared" si="39"/>
        <v>4336</v>
      </c>
      <c r="G117" s="121">
        <f t="shared" si="39"/>
        <v>0</v>
      </c>
      <c r="H117" s="121">
        <f t="shared" si="39"/>
        <v>0</v>
      </c>
      <c r="I117" s="121">
        <f t="shared" si="39"/>
        <v>3513</v>
      </c>
      <c r="J117" s="121">
        <f t="shared" si="39"/>
        <v>0</v>
      </c>
      <c r="K117" s="121">
        <f t="shared" si="39"/>
        <v>0</v>
      </c>
      <c r="L117" s="121">
        <f t="shared" si="39"/>
        <v>92406569</v>
      </c>
      <c r="M117" s="121">
        <f t="shared" si="39"/>
        <v>0</v>
      </c>
      <c r="N117" s="121">
        <f t="shared" si="39"/>
        <v>0</v>
      </c>
      <c r="O117" s="121">
        <f t="shared" si="39"/>
        <v>0</v>
      </c>
      <c r="P117" s="121">
        <f t="shared" si="39"/>
        <v>0</v>
      </c>
      <c r="Q117" s="121">
        <f t="shared" si="39"/>
        <v>0</v>
      </c>
      <c r="R117" s="121">
        <f t="shared" si="39"/>
        <v>0</v>
      </c>
      <c r="S117" s="121">
        <f t="shared" si="39"/>
        <v>0</v>
      </c>
      <c r="T117" s="121">
        <f t="shared" si="39"/>
        <v>1786</v>
      </c>
      <c r="U117" s="121">
        <f t="shared" si="39"/>
        <v>0</v>
      </c>
      <c r="V117" s="121">
        <f t="shared" si="39"/>
        <v>0</v>
      </c>
      <c r="W117" s="121">
        <f t="shared" si="39"/>
        <v>955000</v>
      </c>
      <c r="X117" s="121">
        <f t="shared" si="39"/>
        <v>0</v>
      </c>
      <c r="Y117" s="121">
        <f t="shared" si="39"/>
        <v>24634000</v>
      </c>
      <c r="Z117" s="121">
        <f t="shared" si="39"/>
        <v>289274794</v>
      </c>
      <c r="AA117" s="121">
        <f t="shared" si="39"/>
        <v>18277456</v>
      </c>
      <c r="AB117" s="121">
        <f t="shared" si="39"/>
        <v>471</v>
      </c>
      <c r="AC117" s="121">
        <f t="shared" si="39"/>
        <v>979</v>
      </c>
      <c r="AD117" s="121">
        <f t="shared" si="39"/>
        <v>2989784</v>
      </c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</row>
    <row r="118" ht="15.75" customHeight="1">
      <c r="A118" s="38"/>
      <c r="B118" s="38"/>
      <c r="C118" s="38" t="s">
        <v>50</v>
      </c>
      <c r="F118" s="133">
        <f>F109+3</f>
        <v>46285</v>
      </c>
      <c r="G118" s="23"/>
      <c r="H118" s="23"/>
      <c r="I118" s="23"/>
      <c r="K118" s="50">
        <f>F118</f>
        <v>46285</v>
      </c>
      <c r="L118" s="23"/>
      <c r="M118" s="23"/>
      <c r="N118" s="23"/>
      <c r="O118" s="23"/>
      <c r="P118" s="23"/>
      <c r="Q118" s="23"/>
      <c r="R118" s="23"/>
      <c r="S118" s="23"/>
      <c r="T118" s="23"/>
      <c r="W118" s="54"/>
      <c r="X118" s="54"/>
      <c r="Y118" s="54"/>
      <c r="Z118" s="54"/>
      <c r="AA118" s="56"/>
      <c r="AB118" s="54"/>
      <c r="AC118" s="54"/>
      <c r="AD118" s="54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</row>
    <row r="119" ht="15.75" customHeight="1">
      <c r="A119" s="60" t="s">
        <v>74</v>
      </c>
      <c r="B119" s="63" t="s">
        <v>78</v>
      </c>
      <c r="C119" s="65" t="s">
        <v>53</v>
      </c>
      <c r="D119" s="66" t="s">
        <v>58</v>
      </c>
      <c r="E119" s="15"/>
      <c r="F119" s="236" t="s">
        <v>81</v>
      </c>
      <c r="G119" s="70"/>
      <c r="H119" s="15"/>
      <c r="I119" s="236" t="s">
        <v>84</v>
      </c>
      <c r="J119" s="68"/>
      <c r="K119" s="68"/>
      <c r="L119" s="236" t="s">
        <v>66</v>
      </c>
      <c r="M119" s="68"/>
      <c r="N119" s="68"/>
      <c r="O119" s="72"/>
      <c r="P119" s="15"/>
      <c r="Q119" s="68"/>
      <c r="R119" s="68"/>
      <c r="S119" s="76" t="s">
        <v>147</v>
      </c>
      <c r="T119" s="77"/>
      <c r="U119" s="70"/>
      <c r="V119" s="15"/>
      <c r="W119" s="76" t="s">
        <v>97</v>
      </c>
      <c r="X119" s="77"/>
      <c r="Y119" s="68" t="s">
        <v>102</v>
      </c>
      <c r="Z119" s="236" t="s">
        <v>103</v>
      </c>
      <c r="AA119" s="236" t="s">
        <v>104</v>
      </c>
      <c r="AB119" s="236" t="s">
        <v>106</v>
      </c>
      <c r="AC119" s="68" t="s">
        <v>107</v>
      </c>
      <c r="AD119" s="81" t="s">
        <v>108</v>
      </c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</row>
    <row r="120" ht="25.5" customHeight="1">
      <c r="A120" s="25"/>
      <c r="B120" s="25"/>
      <c r="C120" s="25"/>
      <c r="D120" s="84" t="s">
        <v>109</v>
      </c>
      <c r="E120" s="84" t="s">
        <v>110</v>
      </c>
      <c r="F120" s="25"/>
      <c r="G120" s="84"/>
      <c r="H120" s="84"/>
      <c r="I120" s="25"/>
      <c r="J120" s="25"/>
      <c r="K120" s="25"/>
      <c r="L120" s="25"/>
      <c r="M120" s="25"/>
      <c r="N120" s="25"/>
      <c r="O120" s="85"/>
      <c r="P120" s="84"/>
      <c r="Q120" s="25"/>
      <c r="R120" s="25"/>
      <c r="S120" s="86"/>
      <c r="T120" s="87"/>
      <c r="U120" s="84"/>
      <c r="V120" s="84"/>
      <c r="W120" s="86"/>
      <c r="X120" s="87"/>
      <c r="Y120" s="25"/>
      <c r="Z120" s="25"/>
      <c r="AA120" s="25"/>
      <c r="AB120" s="25"/>
      <c r="AC120" s="25"/>
      <c r="AD120" s="25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</row>
    <row r="121" ht="36.0" customHeight="1">
      <c r="A121" s="90">
        <v>1.0</v>
      </c>
      <c r="B121" s="93">
        <f t="shared" ref="B121:B125" si="40">$F$118</f>
        <v>46285</v>
      </c>
      <c r="C121" s="94" t="s">
        <v>115</v>
      </c>
      <c r="D121" s="95"/>
      <c r="E121" s="95"/>
      <c r="F121" s="97">
        <v>778.0</v>
      </c>
      <c r="G121" s="95"/>
      <c r="H121" s="95"/>
      <c r="I121" s="97">
        <v>635.0</v>
      </c>
      <c r="J121" s="95"/>
      <c r="K121" s="95"/>
      <c r="L121" s="97">
        <v>1.9863242E7</v>
      </c>
      <c r="M121" s="95"/>
      <c r="N121" s="95"/>
      <c r="O121" s="95"/>
      <c r="P121" s="95"/>
      <c r="Q121" s="95"/>
      <c r="R121" s="95"/>
      <c r="S121" s="97"/>
      <c r="T121" s="97">
        <v>395.0</v>
      </c>
      <c r="U121" s="95"/>
      <c r="V121" s="95"/>
      <c r="W121" s="97">
        <v>500000.0</v>
      </c>
      <c r="X121" s="95"/>
      <c r="Y121" s="100">
        <f t="shared" ref="Y121:Y125" si="41">Y112+W121</f>
        <v>4910000</v>
      </c>
      <c r="Z121" s="97">
        <v>5.4351937E7</v>
      </c>
      <c r="AA121" s="97">
        <v>3677922.0</v>
      </c>
      <c r="AB121" s="97">
        <v>81.0</v>
      </c>
      <c r="AC121" s="97">
        <v>1255.0</v>
      </c>
      <c r="AD121" s="101">
        <v>846837.0</v>
      </c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</row>
    <row r="122" ht="36.0" customHeight="1">
      <c r="A122" s="90">
        <v>2.0</v>
      </c>
      <c r="B122" s="93">
        <f t="shared" si="40"/>
        <v>46285</v>
      </c>
      <c r="C122" s="94" t="s">
        <v>119</v>
      </c>
      <c r="D122" s="95"/>
      <c r="E122" s="95"/>
      <c r="F122" s="97">
        <v>906.0</v>
      </c>
      <c r="G122" s="95"/>
      <c r="H122" s="95"/>
      <c r="I122" s="97">
        <v>736.0</v>
      </c>
      <c r="J122" s="95"/>
      <c r="K122" s="95"/>
      <c r="L122" s="97">
        <v>1.6309053E7</v>
      </c>
      <c r="M122" s="95"/>
      <c r="N122" s="95"/>
      <c r="O122" s="95"/>
      <c r="P122" s="95"/>
      <c r="Q122" s="95"/>
      <c r="R122" s="95"/>
      <c r="S122" s="97"/>
      <c r="T122" s="97">
        <v>304.0</v>
      </c>
      <c r="U122" s="95"/>
      <c r="V122" s="95"/>
      <c r="W122" s="97">
        <v>150000.0</v>
      </c>
      <c r="X122" s="95"/>
      <c r="Y122" s="100">
        <f t="shared" si="41"/>
        <v>3963000</v>
      </c>
      <c r="Z122" s="97">
        <v>5.2330763E7</v>
      </c>
      <c r="AA122" s="97">
        <v>3404607.0</v>
      </c>
      <c r="AB122" s="97">
        <v>96.0</v>
      </c>
      <c r="AC122" s="97">
        <v>1192.0</v>
      </c>
      <c r="AD122" s="101">
        <v>2042586.0</v>
      </c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</row>
    <row r="123" ht="36.0" customHeight="1">
      <c r="A123" s="90">
        <v>3.0</v>
      </c>
      <c r="B123" s="93">
        <f t="shared" si="40"/>
        <v>46285</v>
      </c>
      <c r="C123" s="94" t="s">
        <v>123</v>
      </c>
      <c r="D123" s="95">
        <v>2.0</v>
      </c>
      <c r="E123" s="95">
        <v>2.0</v>
      </c>
      <c r="F123" s="97">
        <v>917.0</v>
      </c>
      <c r="G123" s="95"/>
      <c r="H123" s="95"/>
      <c r="I123" s="97">
        <v>768.0</v>
      </c>
      <c r="J123" s="95"/>
      <c r="K123" s="95"/>
      <c r="L123" s="97">
        <v>2.3320485E7</v>
      </c>
      <c r="M123" s="95"/>
      <c r="N123" s="95"/>
      <c r="O123" s="95"/>
      <c r="P123" s="95"/>
      <c r="Q123" s="95"/>
      <c r="R123" s="95"/>
      <c r="S123" s="97"/>
      <c r="T123" s="97">
        <v>495.0</v>
      </c>
      <c r="U123" s="95"/>
      <c r="V123" s="95"/>
      <c r="W123" s="97">
        <v>0.0</v>
      </c>
      <c r="X123" s="95"/>
      <c r="Y123" s="100">
        <f t="shared" si="41"/>
        <v>7486000</v>
      </c>
      <c r="Z123" s="97">
        <v>6.919562E7</v>
      </c>
      <c r="AA123" s="106">
        <v>4034192.0</v>
      </c>
      <c r="AB123" s="97">
        <v>89.0</v>
      </c>
      <c r="AC123" s="97">
        <v>110.0</v>
      </c>
      <c r="AD123" s="101">
        <v>847004.0</v>
      </c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</row>
    <row r="124" ht="36.0" customHeight="1">
      <c r="A124" s="90">
        <v>4.0</v>
      </c>
      <c r="B124" s="93">
        <f t="shared" si="40"/>
        <v>46285</v>
      </c>
      <c r="C124" s="94" t="s">
        <v>128</v>
      </c>
      <c r="D124" s="95"/>
      <c r="E124" s="95"/>
      <c r="F124" s="97">
        <v>879.0</v>
      </c>
      <c r="G124" s="95"/>
      <c r="H124" s="95"/>
      <c r="I124" s="97">
        <v>682.0</v>
      </c>
      <c r="J124" s="95"/>
      <c r="K124" s="95"/>
      <c r="L124" s="108">
        <v>1.5604079E7</v>
      </c>
      <c r="M124" s="95"/>
      <c r="N124" s="95"/>
      <c r="O124" s="95"/>
      <c r="P124" s="95"/>
      <c r="Q124" s="95"/>
      <c r="R124" s="95"/>
      <c r="S124" s="97"/>
      <c r="T124" s="97">
        <v>425.0</v>
      </c>
      <c r="U124" s="95"/>
      <c r="V124" s="95"/>
      <c r="W124" s="97">
        <v>405000.0</v>
      </c>
      <c r="X124" s="95"/>
      <c r="Y124" s="100">
        <f t="shared" si="41"/>
        <v>5050000</v>
      </c>
      <c r="Z124" s="109">
        <v>5.1294351E7</v>
      </c>
      <c r="AA124" s="109">
        <v>3423415.0</v>
      </c>
      <c r="AB124" s="97">
        <v>69.0</v>
      </c>
      <c r="AC124" s="97">
        <v>72.0</v>
      </c>
      <c r="AD124" s="101">
        <v>2173230.0</v>
      </c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2"/>
    </row>
    <row r="125" ht="36.0" customHeight="1">
      <c r="A125" s="90">
        <v>6.0</v>
      </c>
      <c r="B125" s="93">
        <f t="shared" si="40"/>
        <v>46285</v>
      </c>
      <c r="C125" s="113" t="s">
        <v>105</v>
      </c>
      <c r="D125" s="95">
        <v>2.0</v>
      </c>
      <c r="E125" s="95">
        <v>2.0</v>
      </c>
      <c r="F125" s="97">
        <v>864.0</v>
      </c>
      <c r="G125" s="95"/>
      <c r="H125" s="95"/>
      <c r="I125" s="115">
        <v>698.0</v>
      </c>
      <c r="J125" s="117"/>
      <c r="K125" s="117"/>
      <c r="L125" s="109">
        <v>1.7575939E7</v>
      </c>
      <c r="M125" s="95"/>
      <c r="N125" s="95"/>
      <c r="O125" s="95"/>
      <c r="P125" s="95"/>
      <c r="Q125" s="95"/>
      <c r="R125" s="95"/>
      <c r="S125" s="97"/>
      <c r="T125" s="97">
        <v>347.0</v>
      </c>
      <c r="U125" s="95"/>
      <c r="V125" s="95"/>
      <c r="W125" s="97">
        <v>150000.0</v>
      </c>
      <c r="X125" s="95"/>
      <c r="Y125" s="100">
        <f t="shared" si="41"/>
        <v>4430000</v>
      </c>
      <c r="Z125" s="109">
        <v>6.0840234E7</v>
      </c>
      <c r="AA125" s="109">
        <v>3671143.0</v>
      </c>
      <c r="AB125" s="97">
        <v>100.0</v>
      </c>
      <c r="AC125" s="97">
        <v>24.0</v>
      </c>
      <c r="AD125" s="101">
        <v>99852.0</v>
      </c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  <c r="AX125" s="102"/>
      <c r="AY125" s="102"/>
      <c r="AZ125" s="102"/>
      <c r="BA125" s="102"/>
    </row>
    <row r="126" ht="15.75" customHeight="1">
      <c r="A126" s="120" t="s">
        <v>96</v>
      </c>
      <c r="B126" s="14"/>
      <c r="C126" s="15"/>
      <c r="D126" s="121">
        <f t="shared" ref="D126:AD126" si="42">SUM(D121:D125)</f>
        <v>4</v>
      </c>
      <c r="E126" s="121">
        <f t="shared" si="42"/>
        <v>4</v>
      </c>
      <c r="F126" s="121">
        <f t="shared" si="42"/>
        <v>4344</v>
      </c>
      <c r="G126" s="121">
        <f t="shared" si="42"/>
        <v>0</v>
      </c>
      <c r="H126" s="121">
        <f t="shared" si="42"/>
        <v>0</v>
      </c>
      <c r="I126" s="121">
        <f t="shared" si="42"/>
        <v>3519</v>
      </c>
      <c r="J126" s="121">
        <f t="shared" si="42"/>
        <v>0</v>
      </c>
      <c r="K126" s="121">
        <f t="shared" si="42"/>
        <v>0</v>
      </c>
      <c r="L126" s="121">
        <f t="shared" si="42"/>
        <v>92672798</v>
      </c>
      <c r="M126" s="121">
        <f t="shared" si="42"/>
        <v>0</v>
      </c>
      <c r="N126" s="121">
        <f t="shared" si="42"/>
        <v>0</v>
      </c>
      <c r="O126" s="121">
        <f t="shared" si="42"/>
        <v>0</v>
      </c>
      <c r="P126" s="121">
        <f t="shared" si="42"/>
        <v>0</v>
      </c>
      <c r="Q126" s="121">
        <f t="shared" si="42"/>
        <v>0</v>
      </c>
      <c r="R126" s="121">
        <f t="shared" si="42"/>
        <v>0</v>
      </c>
      <c r="S126" s="121">
        <f t="shared" si="42"/>
        <v>0</v>
      </c>
      <c r="T126" s="121">
        <f t="shared" si="42"/>
        <v>1966</v>
      </c>
      <c r="U126" s="121">
        <f t="shared" si="42"/>
        <v>0</v>
      </c>
      <c r="V126" s="121">
        <f t="shared" si="42"/>
        <v>0</v>
      </c>
      <c r="W126" s="121">
        <f t="shared" si="42"/>
        <v>1205000</v>
      </c>
      <c r="X126" s="121">
        <f t="shared" si="42"/>
        <v>0</v>
      </c>
      <c r="Y126" s="121">
        <f t="shared" si="42"/>
        <v>25839000</v>
      </c>
      <c r="Z126" s="121">
        <f t="shared" si="42"/>
        <v>288012905</v>
      </c>
      <c r="AA126" s="121">
        <f t="shared" si="42"/>
        <v>18211279</v>
      </c>
      <c r="AB126" s="121">
        <f t="shared" si="42"/>
        <v>435</v>
      </c>
      <c r="AC126" s="121">
        <f t="shared" si="42"/>
        <v>2653</v>
      </c>
      <c r="AD126" s="121">
        <f t="shared" si="42"/>
        <v>6009509</v>
      </c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</row>
    <row r="127" ht="15.75" customHeight="1">
      <c r="A127" s="38"/>
      <c r="B127" s="38"/>
      <c r="C127" s="38"/>
      <c r="F127" s="133">
        <f>F118+1</f>
        <v>46286</v>
      </c>
      <c r="G127" s="23"/>
      <c r="H127" s="23"/>
      <c r="I127" s="23"/>
      <c r="K127" s="50">
        <f>F127</f>
        <v>46286</v>
      </c>
      <c r="L127" s="23"/>
      <c r="M127" s="23"/>
      <c r="N127" s="23"/>
      <c r="O127" s="23"/>
      <c r="P127" s="23"/>
      <c r="Q127" s="23"/>
      <c r="R127" s="23"/>
      <c r="S127" s="23"/>
      <c r="T127" s="23"/>
      <c r="W127" s="54"/>
      <c r="X127" s="54"/>
      <c r="Y127" s="54"/>
      <c r="Z127" s="54"/>
      <c r="AA127" s="56"/>
      <c r="AB127" s="54"/>
      <c r="AC127" s="54"/>
      <c r="AD127" s="54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</row>
    <row r="128" ht="20.25" customHeight="1">
      <c r="A128" s="60" t="s">
        <v>74</v>
      </c>
      <c r="B128" s="63" t="s">
        <v>78</v>
      </c>
      <c r="C128" s="65" t="s">
        <v>53</v>
      </c>
      <c r="D128" s="66" t="s">
        <v>58</v>
      </c>
      <c r="E128" s="15"/>
      <c r="F128" s="68" t="s">
        <v>81</v>
      </c>
      <c r="G128" s="70" t="s">
        <v>82</v>
      </c>
      <c r="H128" s="15"/>
      <c r="I128" s="68" t="s">
        <v>84</v>
      </c>
      <c r="J128" s="68" t="s">
        <v>85</v>
      </c>
      <c r="K128" s="68" t="s">
        <v>86</v>
      </c>
      <c r="L128" s="68" t="s">
        <v>66</v>
      </c>
      <c r="M128" s="68" t="s">
        <v>88</v>
      </c>
      <c r="N128" s="68" t="s">
        <v>89</v>
      </c>
      <c r="O128" s="72" t="s">
        <v>90</v>
      </c>
      <c r="P128" s="15"/>
      <c r="Q128" s="68" t="s">
        <v>92</v>
      </c>
      <c r="R128" s="68" t="s">
        <v>93</v>
      </c>
      <c r="S128" s="76" t="s">
        <v>147</v>
      </c>
      <c r="T128" s="77"/>
      <c r="U128" s="70" t="s">
        <v>95</v>
      </c>
      <c r="V128" s="15"/>
      <c r="W128" s="76" t="s">
        <v>97</v>
      </c>
      <c r="X128" s="77"/>
      <c r="Y128" s="68" t="s">
        <v>102</v>
      </c>
      <c r="Z128" s="68" t="s">
        <v>103</v>
      </c>
      <c r="AA128" s="68" t="s">
        <v>104</v>
      </c>
      <c r="AB128" s="68" t="s">
        <v>106</v>
      </c>
      <c r="AC128" s="68" t="s">
        <v>107</v>
      </c>
      <c r="AD128" s="81" t="s">
        <v>108</v>
      </c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</row>
    <row r="129" ht="33.0" customHeight="1">
      <c r="A129" s="25"/>
      <c r="B129" s="25"/>
      <c r="C129" s="25"/>
      <c r="D129" s="84" t="s">
        <v>109</v>
      </c>
      <c r="E129" s="84" t="s">
        <v>110</v>
      </c>
      <c r="F129" s="25"/>
      <c r="G129" s="84" t="s">
        <v>109</v>
      </c>
      <c r="H129" s="84" t="s">
        <v>110</v>
      </c>
      <c r="I129" s="25"/>
      <c r="J129" s="25"/>
      <c r="K129" s="25"/>
      <c r="L129" s="25"/>
      <c r="M129" s="25"/>
      <c r="N129" s="25"/>
      <c r="O129" s="85" t="s">
        <v>111</v>
      </c>
      <c r="P129" s="84" t="s">
        <v>112</v>
      </c>
      <c r="Q129" s="25"/>
      <c r="R129" s="25"/>
      <c r="S129" s="86"/>
      <c r="T129" s="87"/>
      <c r="U129" s="84" t="s">
        <v>113</v>
      </c>
      <c r="V129" s="84" t="s">
        <v>114</v>
      </c>
      <c r="W129" s="86"/>
      <c r="X129" s="87"/>
      <c r="Y129" s="25"/>
      <c r="Z129" s="25"/>
      <c r="AA129" s="25"/>
      <c r="AB129" s="25"/>
      <c r="AC129" s="25"/>
      <c r="AD129" s="25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</row>
    <row r="130" ht="35.25" customHeight="1">
      <c r="A130" s="241">
        <v>1.0</v>
      </c>
      <c r="B130" s="242">
        <f t="shared" ref="B130:B134" si="43">$F$127</f>
        <v>46286</v>
      </c>
      <c r="C130" s="94" t="s">
        <v>115</v>
      </c>
      <c r="D130" s="95"/>
      <c r="E130" s="95"/>
      <c r="F130" s="97">
        <v>778.0</v>
      </c>
      <c r="G130" s="95"/>
      <c r="H130" s="95"/>
      <c r="I130" s="97">
        <v>638.0</v>
      </c>
      <c r="J130" s="95"/>
      <c r="K130" s="95"/>
      <c r="L130" s="97">
        <v>1.9946571E7</v>
      </c>
      <c r="M130" s="95"/>
      <c r="N130" s="95"/>
      <c r="O130" s="95"/>
      <c r="P130" s="95"/>
      <c r="Q130" s="95"/>
      <c r="R130" s="95"/>
      <c r="S130" s="97"/>
      <c r="T130" s="97">
        <v>416.0</v>
      </c>
      <c r="U130" s="95"/>
      <c r="V130" s="95"/>
      <c r="W130" s="97">
        <v>1800000.0</v>
      </c>
      <c r="X130" s="95"/>
      <c r="Y130" s="100">
        <f t="shared" ref="Y130:Y134" si="44">Y121+W130</f>
        <v>6710000</v>
      </c>
      <c r="Z130" s="97">
        <v>5.5838004E7</v>
      </c>
      <c r="AA130" s="97">
        <v>3590090.0</v>
      </c>
      <c r="AB130" s="97">
        <v>83.0</v>
      </c>
      <c r="AC130" s="97">
        <v>0.0</v>
      </c>
      <c r="AD130" s="101">
        <v>4013992.0</v>
      </c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</row>
    <row r="131" ht="37.5" customHeight="1">
      <c r="A131" s="241">
        <v>2.0</v>
      </c>
      <c r="B131" s="242">
        <f t="shared" si="43"/>
        <v>46286</v>
      </c>
      <c r="C131" s="94" t="s">
        <v>119</v>
      </c>
      <c r="D131" s="95"/>
      <c r="E131" s="95"/>
      <c r="F131" s="97">
        <v>906.0</v>
      </c>
      <c r="G131" s="95"/>
      <c r="H131" s="95"/>
      <c r="I131" s="97">
        <v>737.0</v>
      </c>
      <c r="J131" s="95"/>
      <c r="K131" s="95"/>
      <c r="L131" s="97">
        <v>1.6340975E7</v>
      </c>
      <c r="M131" s="95"/>
      <c r="N131" s="95"/>
      <c r="O131" s="95"/>
      <c r="P131" s="95"/>
      <c r="Q131" s="95"/>
      <c r="R131" s="95"/>
      <c r="S131" s="97"/>
      <c r="T131" s="97">
        <v>319.0</v>
      </c>
      <c r="U131" s="95"/>
      <c r="V131" s="95"/>
      <c r="W131" s="97">
        <v>550000.0</v>
      </c>
      <c r="X131" s="95"/>
      <c r="Y131" s="100">
        <f t="shared" si="44"/>
        <v>4513000</v>
      </c>
      <c r="Z131" s="97">
        <v>5.2639512E7</v>
      </c>
      <c r="AA131" s="97">
        <v>3445304.0</v>
      </c>
      <c r="AB131" s="97">
        <v>96.0</v>
      </c>
      <c r="AC131" s="97">
        <v>655.0</v>
      </c>
      <c r="AD131" s="101">
        <v>4210198.0</v>
      </c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</row>
    <row r="132" ht="37.5" customHeight="1">
      <c r="A132" s="241">
        <v>3.0</v>
      </c>
      <c r="B132" s="242">
        <f t="shared" si="43"/>
        <v>46286</v>
      </c>
      <c r="C132" s="94" t="s">
        <v>123</v>
      </c>
      <c r="D132" s="95">
        <v>2.0</v>
      </c>
      <c r="E132" s="95">
        <v>0.0</v>
      </c>
      <c r="F132" s="97">
        <v>912.0</v>
      </c>
      <c r="G132" s="95"/>
      <c r="H132" s="95"/>
      <c r="I132" s="97">
        <v>765.0</v>
      </c>
      <c r="J132" s="95"/>
      <c r="K132" s="95"/>
      <c r="L132" s="97">
        <v>2.3321673E7</v>
      </c>
      <c r="M132" s="95"/>
      <c r="N132" s="95"/>
      <c r="O132" s="95"/>
      <c r="P132" s="95"/>
      <c r="Q132" s="95"/>
      <c r="R132" s="95"/>
      <c r="S132" s="97"/>
      <c r="T132" s="97">
        <v>523.0</v>
      </c>
      <c r="U132" s="95"/>
      <c r="V132" s="95"/>
      <c r="W132" s="97">
        <v>780000.0</v>
      </c>
      <c r="X132" s="95"/>
      <c r="Y132" s="100">
        <f t="shared" si="44"/>
        <v>8266000</v>
      </c>
      <c r="Z132" s="97">
        <v>6.9652628E7</v>
      </c>
      <c r="AA132" s="106">
        <v>3949291.0</v>
      </c>
      <c r="AB132" s="97">
        <v>81.0</v>
      </c>
      <c r="AC132" s="97">
        <v>125.0</v>
      </c>
      <c r="AD132" s="101">
        <v>448254.0</v>
      </c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</row>
    <row r="133" ht="37.5" customHeight="1">
      <c r="A133" s="241">
        <v>4.0</v>
      </c>
      <c r="B133" s="242">
        <f t="shared" si="43"/>
        <v>46286</v>
      </c>
      <c r="C133" s="94" t="s">
        <v>128</v>
      </c>
      <c r="D133" s="95"/>
      <c r="E133" s="95"/>
      <c r="F133" s="97">
        <v>878.0</v>
      </c>
      <c r="G133" s="95"/>
      <c r="H133" s="95"/>
      <c r="I133" s="97">
        <v>688.0</v>
      </c>
      <c r="J133" s="95"/>
      <c r="K133" s="95"/>
      <c r="L133" s="108">
        <v>1.5687848E7</v>
      </c>
      <c r="M133" s="95"/>
      <c r="N133" s="95"/>
      <c r="O133" s="95"/>
      <c r="P133" s="95"/>
      <c r="Q133" s="95"/>
      <c r="R133" s="95"/>
      <c r="S133" s="97"/>
      <c r="T133" s="97">
        <v>442.0</v>
      </c>
      <c r="U133" s="95"/>
      <c r="V133" s="95"/>
      <c r="W133" s="97">
        <v>840000.0</v>
      </c>
      <c r="X133" s="95"/>
      <c r="Y133" s="100">
        <f t="shared" si="44"/>
        <v>5890000</v>
      </c>
      <c r="Z133" s="108">
        <v>5.1969783E7</v>
      </c>
      <c r="AA133" s="108">
        <v>3336417.0</v>
      </c>
      <c r="AB133" s="97">
        <v>100.0</v>
      </c>
      <c r="AC133" s="97">
        <v>26.0</v>
      </c>
      <c r="AD133" s="101">
        <v>616680.0</v>
      </c>
      <c r="AE133" s="110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</row>
    <row r="134" ht="37.5" customHeight="1">
      <c r="A134" s="108">
        <v>3576419.0</v>
      </c>
      <c r="B134" s="242">
        <f t="shared" si="43"/>
        <v>46286</v>
      </c>
      <c r="C134" s="113" t="s">
        <v>105</v>
      </c>
      <c r="D134" s="95">
        <v>2.0</v>
      </c>
      <c r="E134" s="95">
        <v>2.0</v>
      </c>
      <c r="F134" s="97">
        <v>867.0</v>
      </c>
      <c r="G134" s="95"/>
      <c r="H134" s="95"/>
      <c r="I134" s="115">
        <v>696.0</v>
      </c>
      <c r="J134" s="117"/>
      <c r="K134" s="117"/>
      <c r="L134" s="109">
        <v>1.7636299E7</v>
      </c>
      <c r="M134" s="95"/>
      <c r="N134" s="95"/>
      <c r="O134" s="95"/>
      <c r="P134" s="95"/>
      <c r="Q134" s="95"/>
      <c r="R134" s="95"/>
      <c r="S134" s="97"/>
      <c r="T134" s="97">
        <v>369.0</v>
      </c>
      <c r="U134" s="95"/>
      <c r="V134" s="95"/>
      <c r="W134" s="97">
        <v>0.0</v>
      </c>
      <c r="X134" s="95"/>
      <c r="Y134" s="100">
        <f t="shared" si="44"/>
        <v>4430000</v>
      </c>
      <c r="Z134" s="109">
        <v>6.0569561E7</v>
      </c>
      <c r="AA134" s="109">
        <v>3802929.0</v>
      </c>
      <c r="AB134" s="97">
        <v>86.0</v>
      </c>
      <c r="AC134" s="97">
        <v>134.0</v>
      </c>
      <c r="AD134" s="101">
        <v>479422.0</v>
      </c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</row>
    <row r="135" ht="21.0" customHeight="1">
      <c r="A135" s="243" t="s">
        <v>96</v>
      </c>
      <c r="B135" s="14"/>
      <c r="C135" s="15"/>
      <c r="D135" s="121">
        <f t="shared" ref="D135:AB135" si="45">SUM(D130:D134)</f>
        <v>4</v>
      </c>
      <c r="E135" s="121">
        <f t="shared" si="45"/>
        <v>2</v>
      </c>
      <c r="F135" s="121">
        <f t="shared" si="45"/>
        <v>4341</v>
      </c>
      <c r="G135" s="121">
        <f t="shared" si="45"/>
        <v>0</v>
      </c>
      <c r="H135" s="121">
        <f t="shared" si="45"/>
        <v>0</v>
      </c>
      <c r="I135" s="121">
        <f t="shared" si="45"/>
        <v>3524</v>
      </c>
      <c r="J135" s="121">
        <f t="shared" si="45"/>
        <v>0</v>
      </c>
      <c r="K135" s="121">
        <f t="shared" si="45"/>
        <v>0</v>
      </c>
      <c r="L135" s="121">
        <f t="shared" si="45"/>
        <v>92933366</v>
      </c>
      <c r="M135" s="121">
        <f t="shared" si="45"/>
        <v>0</v>
      </c>
      <c r="N135" s="121">
        <f t="shared" si="45"/>
        <v>0</v>
      </c>
      <c r="O135" s="121">
        <f t="shared" si="45"/>
        <v>0</v>
      </c>
      <c r="P135" s="121">
        <f t="shared" si="45"/>
        <v>0</v>
      </c>
      <c r="Q135" s="121">
        <f t="shared" si="45"/>
        <v>0</v>
      </c>
      <c r="R135" s="121">
        <f t="shared" si="45"/>
        <v>0</v>
      </c>
      <c r="S135" s="121">
        <f t="shared" si="45"/>
        <v>0</v>
      </c>
      <c r="T135" s="121">
        <f t="shared" si="45"/>
        <v>2069</v>
      </c>
      <c r="U135" s="121">
        <f t="shared" si="45"/>
        <v>0</v>
      </c>
      <c r="V135" s="121">
        <f t="shared" si="45"/>
        <v>0</v>
      </c>
      <c r="W135" s="121">
        <f t="shared" si="45"/>
        <v>3970000</v>
      </c>
      <c r="X135" s="121">
        <f t="shared" si="45"/>
        <v>0</v>
      </c>
      <c r="Y135" s="121">
        <f t="shared" si="45"/>
        <v>29809000</v>
      </c>
      <c r="Z135" s="121">
        <f t="shared" si="45"/>
        <v>290669488</v>
      </c>
      <c r="AA135" s="121">
        <f t="shared" si="45"/>
        <v>18124031</v>
      </c>
      <c r="AB135" s="121">
        <f t="shared" si="45"/>
        <v>446</v>
      </c>
      <c r="AC135" s="244"/>
      <c r="AD135" s="121">
        <f>SUM(AD130:AD134)</f>
        <v>9768546</v>
      </c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</row>
    <row r="136" ht="19.5" customHeight="1">
      <c r="A136" s="38"/>
      <c r="B136" s="38"/>
      <c r="C136" s="38" t="s">
        <v>50</v>
      </c>
      <c r="F136" s="133">
        <f>F127+1</f>
        <v>46287</v>
      </c>
      <c r="G136" s="23"/>
      <c r="H136" s="23"/>
      <c r="I136" s="23"/>
      <c r="K136" s="50">
        <f>F136</f>
        <v>46287</v>
      </c>
      <c r="L136" s="23"/>
      <c r="M136" s="23"/>
      <c r="N136" s="23"/>
      <c r="O136" s="23"/>
      <c r="P136" s="23"/>
      <c r="Q136" s="23"/>
      <c r="R136" s="23"/>
      <c r="S136" s="23"/>
      <c r="T136" s="23"/>
      <c r="W136" s="54"/>
      <c r="X136" s="54"/>
      <c r="Y136" s="54"/>
      <c r="Z136" s="54"/>
      <c r="AA136" s="56"/>
      <c r="AB136" s="54"/>
      <c r="AC136" s="54"/>
      <c r="AD136" s="54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</row>
    <row r="137" ht="15.75" customHeight="1">
      <c r="A137" s="60" t="s">
        <v>74</v>
      </c>
      <c r="B137" s="63" t="s">
        <v>78</v>
      </c>
      <c r="C137" s="65" t="s">
        <v>53</v>
      </c>
      <c r="D137" s="66" t="s">
        <v>58</v>
      </c>
      <c r="E137" s="15"/>
      <c r="F137" s="68" t="s">
        <v>81</v>
      </c>
      <c r="G137" s="70" t="s">
        <v>82</v>
      </c>
      <c r="H137" s="15"/>
      <c r="I137" s="68" t="s">
        <v>84</v>
      </c>
      <c r="J137" s="68" t="s">
        <v>85</v>
      </c>
      <c r="K137" s="68" t="s">
        <v>86</v>
      </c>
      <c r="L137" s="68" t="s">
        <v>66</v>
      </c>
      <c r="M137" s="68" t="s">
        <v>88</v>
      </c>
      <c r="N137" s="68" t="s">
        <v>89</v>
      </c>
      <c r="O137" s="72" t="s">
        <v>90</v>
      </c>
      <c r="P137" s="15"/>
      <c r="Q137" s="68" t="s">
        <v>92</v>
      </c>
      <c r="R137" s="68" t="s">
        <v>93</v>
      </c>
      <c r="S137" s="76" t="s">
        <v>147</v>
      </c>
      <c r="T137" s="77"/>
      <c r="U137" s="70" t="s">
        <v>95</v>
      </c>
      <c r="V137" s="15"/>
      <c r="W137" s="76" t="s">
        <v>97</v>
      </c>
      <c r="X137" s="77"/>
      <c r="Y137" s="68" t="s">
        <v>102</v>
      </c>
      <c r="Z137" s="68" t="s">
        <v>103</v>
      </c>
      <c r="AA137" s="68" t="s">
        <v>104</v>
      </c>
      <c r="AB137" s="68" t="s">
        <v>106</v>
      </c>
      <c r="AC137" s="68" t="s">
        <v>107</v>
      </c>
      <c r="AD137" s="81" t="s">
        <v>108</v>
      </c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</row>
    <row r="138" ht="30.75" customHeight="1">
      <c r="A138" s="25"/>
      <c r="B138" s="25"/>
      <c r="C138" s="25"/>
      <c r="D138" s="84" t="s">
        <v>109</v>
      </c>
      <c r="E138" s="84" t="s">
        <v>110</v>
      </c>
      <c r="F138" s="25"/>
      <c r="G138" s="84" t="s">
        <v>109</v>
      </c>
      <c r="H138" s="84" t="s">
        <v>110</v>
      </c>
      <c r="I138" s="25"/>
      <c r="J138" s="25"/>
      <c r="K138" s="25"/>
      <c r="L138" s="25"/>
      <c r="M138" s="25"/>
      <c r="N138" s="25"/>
      <c r="O138" s="85" t="s">
        <v>111</v>
      </c>
      <c r="P138" s="84" t="s">
        <v>112</v>
      </c>
      <c r="Q138" s="25"/>
      <c r="R138" s="25"/>
      <c r="S138" s="86"/>
      <c r="T138" s="87"/>
      <c r="U138" s="84" t="s">
        <v>113</v>
      </c>
      <c r="V138" s="84" t="s">
        <v>114</v>
      </c>
      <c r="W138" s="86"/>
      <c r="X138" s="87"/>
      <c r="Y138" s="25"/>
      <c r="Z138" s="25"/>
      <c r="AA138" s="25"/>
      <c r="AB138" s="25"/>
      <c r="AC138" s="25"/>
      <c r="AD138" s="25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</row>
    <row r="139" ht="35.25" customHeight="1">
      <c r="A139" s="90">
        <v>1.0</v>
      </c>
      <c r="B139" s="93">
        <f t="shared" ref="B139:B143" si="46">$F$136</f>
        <v>46287</v>
      </c>
      <c r="C139" s="94" t="s">
        <v>115</v>
      </c>
      <c r="D139" s="95"/>
      <c r="E139" s="95"/>
      <c r="F139" s="97">
        <v>779.0</v>
      </c>
      <c r="G139" s="95"/>
      <c r="H139" s="95"/>
      <c r="I139" s="97">
        <v>636.0</v>
      </c>
      <c r="J139" s="95"/>
      <c r="K139" s="95"/>
      <c r="L139" s="97">
        <v>1.9901651E7</v>
      </c>
      <c r="M139" s="95"/>
      <c r="N139" s="95"/>
      <c r="O139" s="95"/>
      <c r="P139" s="95"/>
      <c r="Q139" s="95"/>
      <c r="R139" s="95"/>
      <c r="S139" s="97"/>
      <c r="T139" s="97">
        <v>442.0</v>
      </c>
      <c r="U139" s="95"/>
      <c r="V139" s="95"/>
      <c r="W139" s="97">
        <v>90000.0</v>
      </c>
      <c r="X139" s="95"/>
      <c r="Y139" s="100">
        <f t="shared" ref="Y139:Y143" si="47">Y130+W139</f>
        <v>6800000</v>
      </c>
      <c r="Z139" s="97">
        <v>5.5519885E7</v>
      </c>
      <c r="AA139" s="97">
        <v>3409662.0</v>
      </c>
      <c r="AB139" s="97">
        <v>87.0</v>
      </c>
      <c r="AC139" s="97">
        <v>0.0</v>
      </c>
      <c r="AD139" s="101">
        <v>3353792.0</v>
      </c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</row>
    <row r="140" ht="35.25" customHeight="1">
      <c r="A140" s="90">
        <v>2.0</v>
      </c>
      <c r="B140" s="93">
        <f t="shared" si="46"/>
        <v>46287</v>
      </c>
      <c r="C140" s="94" t="s">
        <v>119</v>
      </c>
      <c r="D140" s="95"/>
      <c r="E140" s="95"/>
      <c r="F140" s="97">
        <v>909.0</v>
      </c>
      <c r="G140" s="95"/>
      <c r="H140" s="95"/>
      <c r="I140" s="97">
        <v>739.0</v>
      </c>
      <c r="J140" s="95"/>
      <c r="K140" s="95"/>
      <c r="L140" s="97">
        <v>1.6354138E7</v>
      </c>
      <c r="M140" s="95"/>
      <c r="N140" s="95"/>
      <c r="O140" s="95"/>
      <c r="P140" s="95"/>
      <c r="Q140" s="95"/>
      <c r="R140" s="95"/>
      <c r="S140" s="97"/>
      <c r="T140" s="97">
        <v>330.0</v>
      </c>
      <c r="U140" s="95"/>
      <c r="V140" s="95"/>
      <c r="W140" s="97">
        <v>90000.0</v>
      </c>
      <c r="X140" s="95"/>
      <c r="Y140" s="100">
        <f t="shared" si="47"/>
        <v>4603000</v>
      </c>
      <c r="Z140" s="97">
        <v>5.2585357E7</v>
      </c>
      <c r="AA140" s="97">
        <v>3465892.0</v>
      </c>
      <c r="AB140" s="97">
        <v>96.0</v>
      </c>
      <c r="AC140" s="97">
        <v>1075.0</v>
      </c>
      <c r="AD140" s="101">
        <v>4304023.0</v>
      </c>
      <c r="AE140" s="102" t="s">
        <v>170</v>
      </c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</row>
    <row r="141" ht="35.25" customHeight="1">
      <c r="A141" s="90">
        <v>3.0</v>
      </c>
      <c r="B141" s="93">
        <f t="shared" si="46"/>
        <v>46287</v>
      </c>
      <c r="C141" s="94" t="s">
        <v>123</v>
      </c>
      <c r="D141" s="95"/>
      <c r="E141" s="95"/>
      <c r="F141" s="97">
        <v>914.0</v>
      </c>
      <c r="G141" s="95"/>
      <c r="H141" s="95"/>
      <c r="I141" s="97">
        <v>767.0</v>
      </c>
      <c r="J141" s="95"/>
      <c r="K141" s="95"/>
      <c r="L141" s="97">
        <v>2.3311299E7</v>
      </c>
      <c r="M141" s="95"/>
      <c r="N141" s="95"/>
      <c r="O141" s="95"/>
      <c r="P141" s="95"/>
      <c r="Q141" s="95"/>
      <c r="R141" s="95"/>
      <c r="S141" s="97"/>
      <c r="T141" s="97">
        <v>549.0</v>
      </c>
      <c r="U141" s="95"/>
      <c r="V141" s="95"/>
      <c r="W141" s="97">
        <v>240000.0</v>
      </c>
      <c r="X141" s="95"/>
      <c r="Y141" s="100">
        <f t="shared" si="47"/>
        <v>8506000</v>
      </c>
      <c r="Z141" s="97">
        <v>6.9553493E7</v>
      </c>
      <c r="AA141" s="106">
        <v>3882274.0</v>
      </c>
      <c r="AB141" s="97">
        <v>83.0</v>
      </c>
      <c r="AC141" s="97">
        <v>1254.0</v>
      </c>
      <c r="AD141" s="101">
        <v>4092554.0</v>
      </c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</row>
    <row r="142" ht="35.25" customHeight="1">
      <c r="A142" s="90">
        <v>4.0</v>
      </c>
      <c r="B142" s="93">
        <f t="shared" si="46"/>
        <v>46287</v>
      </c>
      <c r="C142" s="94" t="s">
        <v>128</v>
      </c>
      <c r="D142" s="95"/>
      <c r="E142" s="95"/>
      <c r="F142" s="97">
        <v>881.0</v>
      </c>
      <c r="G142" s="95"/>
      <c r="H142" s="95"/>
      <c r="I142" s="97">
        <v>689.0</v>
      </c>
      <c r="J142" s="95"/>
      <c r="K142" s="95"/>
      <c r="L142" s="108">
        <v>1.5682592E7</v>
      </c>
      <c r="M142" s="95"/>
      <c r="N142" s="95"/>
      <c r="O142" s="95"/>
      <c r="P142" s="95"/>
      <c r="Q142" s="95"/>
      <c r="R142" s="95"/>
      <c r="S142" s="97"/>
      <c r="T142" s="97">
        <v>463.0</v>
      </c>
      <c r="U142" s="95"/>
      <c r="V142" s="95"/>
      <c r="W142" s="97">
        <v>140000.0</v>
      </c>
      <c r="X142" s="95"/>
      <c r="Y142" s="100">
        <f t="shared" si="47"/>
        <v>6030000</v>
      </c>
      <c r="Z142" s="109">
        <v>5.1850851E7</v>
      </c>
      <c r="AA142" s="108">
        <v>3299994.0</v>
      </c>
      <c r="AB142" s="97">
        <v>0.0</v>
      </c>
      <c r="AC142" s="97">
        <v>193.0</v>
      </c>
      <c r="AD142" s="101">
        <v>3272110.0</v>
      </c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</row>
    <row r="143" ht="35.25" customHeight="1">
      <c r="A143" s="90">
        <v>6.0</v>
      </c>
      <c r="B143" s="93">
        <f t="shared" si="46"/>
        <v>46287</v>
      </c>
      <c r="C143" s="113" t="s">
        <v>105</v>
      </c>
      <c r="D143" s="95"/>
      <c r="E143" s="95"/>
      <c r="F143" s="97">
        <v>867.0</v>
      </c>
      <c r="G143" s="95"/>
      <c r="H143" s="95"/>
      <c r="I143" s="115">
        <v>698.0</v>
      </c>
      <c r="J143" s="117"/>
      <c r="K143" s="117"/>
      <c r="L143" s="109">
        <v>1.7673769E7</v>
      </c>
      <c r="M143" s="95"/>
      <c r="N143" s="95"/>
      <c r="O143" s="95"/>
      <c r="P143" s="95"/>
      <c r="Q143" s="95"/>
      <c r="R143" s="95"/>
      <c r="S143" s="97"/>
      <c r="T143" s="97">
        <v>395.0</v>
      </c>
      <c r="U143" s="95"/>
      <c r="V143" s="95"/>
      <c r="W143" s="97">
        <v>1420000.0</v>
      </c>
      <c r="X143" s="95"/>
      <c r="Y143" s="100">
        <f t="shared" si="47"/>
        <v>5850000</v>
      </c>
      <c r="Z143" s="109">
        <v>6.1555023E7</v>
      </c>
      <c r="AA143" s="109">
        <v>3724818.0</v>
      </c>
      <c r="AB143" s="97">
        <v>94.0</v>
      </c>
      <c r="AC143" s="97">
        <v>223.0</v>
      </c>
      <c r="AD143" s="101">
        <v>3124202.0</v>
      </c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</row>
    <row r="144" ht="20.25" customHeight="1">
      <c r="A144" s="120" t="s">
        <v>96</v>
      </c>
      <c r="B144" s="14"/>
      <c r="C144" s="15"/>
      <c r="D144" s="121">
        <f t="shared" ref="D144:AD144" si="48">SUM(D139:D143)</f>
        <v>0</v>
      </c>
      <c r="E144" s="245">
        <f t="shared" si="48"/>
        <v>0</v>
      </c>
      <c r="F144" s="121">
        <f t="shared" si="48"/>
        <v>4350</v>
      </c>
      <c r="G144" s="121">
        <f t="shared" si="48"/>
        <v>0</v>
      </c>
      <c r="H144" s="121">
        <f t="shared" si="48"/>
        <v>0</v>
      </c>
      <c r="I144" s="121">
        <f t="shared" si="48"/>
        <v>3529</v>
      </c>
      <c r="J144" s="121">
        <f t="shared" si="48"/>
        <v>0</v>
      </c>
      <c r="K144" s="121">
        <f t="shared" si="48"/>
        <v>0</v>
      </c>
      <c r="L144" s="121">
        <f t="shared" si="48"/>
        <v>92923449</v>
      </c>
      <c r="M144" s="121">
        <f t="shared" si="48"/>
        <v>0</v>
      </c>
      <c r="N144" s="121">
        <f t="shared" si="48"/>
        <v>0</v>
      </c>
      <c r="O144" s="121">
        <f t="shared" si="48"/>
        <v>0</v>
      </c>
      <c r="P144" s="121">
        <f t="shared" si="48"/>
        <v>0</v>
      </c>
      <c r="Q144" s="121">
        <f t="shared" si="48"/>
        <v>0</v>
      </c>
      <c r="R144" s="121">
        <f t="shared" si="48"/>
        <v>0</v>
      </c>
      <c r="S144" s="121">
        <f t="shared" si="48"/>
        <v>0</v>
      </c>
      <c r="T144" s="121">
        <f t="shared" si="48"/>
        <v>2179</v>
      </c>
      <c r="U144" s="121">
        <f t="shared" si="48"/>
        <v>0</v>
      </c>
      <c r="V144" s="121">
        <f t="shared" si="48"/>
        <v>0</v>
      </c>
      <c r="W144" s="121">
        <f t="shared" si="48"/>
        <v>1980000</v>
      </c>
      <c r="X144" s="121">
        <f t="shared" si="48"/>
        <v>0</v>
      </c>
      <c r="Y144" s="121">
        <f t="shared" si="48"/>
        <v>31789000</v>
      </c>
      <c r="Z144" s="121">
        <f t="shared" si="48"/>
        <v>291064609</v>
      </c>
      <c r="AA144" s="121">
        <f t="shared" si="48"/>
        <v>17782640</v>
      </c>
      <c r="AB144" s="121">
        <f t="shared" si="48"/>
        <v>360</v>
      </c>
      <c r="AC144" s="121">
        <f t="shared" si="48"/>
        <v>2745</v>
      </c>
      <c r="AD144" s="121">
        <f t="shared" si="48"/>
        <v>18146681</v>
      </c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</row>
    <row r="145" ht="19.5" customHeight="1">
      <c r="A145" s="38"/>
      <c r="B145" s="38"/>
      <c r="C145" s="38" t="s">
        <v>50</v>
      </c>
      <c r="F145" s="133">
        <f>F136+1</f>
        <v>46288</v>
      </c>
      <c r="G145" s="23"/>
      <c r="H145" s="23"/>
      <c r="I145" s="23"/>
      <c r="K145" s="50">
        <f>F145</f>
        <v>46288</v>
      </c>
      <c r="L145" s="23"/>
      <c r="M145" s="23"/>
      <c r="N145" s="23"/>
      <c r="O145" s="23"/>
      <c r="P145" s="23"/>
      <c r="Q145" s="23"/>
      <c r="R145" s="23"/>
      <c r="S145" s="23"/>
      <c r="T145" s="23"/>
      <c r="W145" s="54"/>
      <c r="X145" s="54"/>
      <c r="Y145" s="54"/>
      <c r="Z145" s="54"/>
      <c r="AA145" s="56"/>
      <c r="AB145" s="54"/>
      <c r="AC145" s="54"/>
      <c r="AD145" s="54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</row>
    <row r="146" ht="15.75" customHeight="1">
      <c r="A146" s="60" t="s">
        <v>74</v>
      </c>
      <c r="B146" s="63" t="s">
        <v>78</v>
      </c>
      <c r="C146" s="65" t="s">
        <v>53</v>
      </c>
      <c r="D146" s="66" t="s">
        <v>58</v>
      </c>
      <c r="E146" s="15"/>
      <c r="F146" s="68" t="s">
        <v>81</v>
      </c>
      <c r="G146" s="70" t="s">
        <v>82</v>
      </c>
      <c r="H146" s="15"/>
      <c r="I146" s="68" t="s">
        <v>84</v>
      </c>
      <c r="J146" s="68" t="s">
        <v>85</v>
      </c>
      <c r="K146" s="68" t="s">
        <v>86</v>
      </c>
      <c r="L146" s="68" t="s">
        <v>66</v>
      </c>
      <c r="M146" s="68" t="s">
        <v>88</v>
      </c>
      <c r="N146" s="68" t="s">
        <v>89</v>
      </c>
      <c r="O146" s="72" t="s">
        <v>90</v>
      </c>
      <c r="P146" s="15"/>
      <c r="Q146" s="68" t="s">
        <v>92</v>
      </c>
      <c r="R146" s="68" t="s">
        <v>93</v>
      </c>
      <c r="S146" s="76" t="s">
        <v>147</v>
      </c>
      <c r="T146" s="77"/>
      <c r="U146" s="70" t="s">
        <v>95</v>
      </c>
      <c r="V146" s="15"/>
      <c r="W146" s="76" t="s">
        <v>97</v>
      </c>
      <c r="X146" s="77"/>
      <c r="Y146" s="68" t="s">
        <v>102</v>
      </c>
      <c r="Z146" s="68" t="s">
        <v>103</v>
      </c>
      <c r="AA146" s="68" t="s">
        <v>104</v>
      </c>
      <c r="AB146" s="68" t="s">
        <v>106</v>
      </c>
      <c r="AC146" s="68" t="s">
        <v>107</v>
      </c>
      <c r="AD146" s="81" t="s">
        <v>108</v>
      </c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</row>
    <row r="147" ht="28.5" customHeight="1">
      <c r="A147" s="25"/>
      <c r="B147" s="25"/>
      <c r="C147" s="25"/>
      <c r="D147" s="84" t="s">
        <v>109</v>
      </c>
      <c r="E147" s="84" t="s">
        <v>110</v>
      </c>
      <c r="F147" s="25"/>
      <c r="G147" s="84" t="s">
        <v>109</v>
      </c>
      <c r="H147" s="84" t="s">
        <v>110</v>
      </c>
      <c r="I147" s="25"/>
      <c r="J147" s="25"/>
      <c r="K147" s="25"/>
      <c r="L147" s="25"/>
      <c r="M147" s="25"/>
      <c r="N147" s="25"/>
      <c r="O147" s="85" t="s">
        <v>111</v>
      </c>
      <c r="P147" s="84" t="s">
        <v>112</v>
      </c>
      <c r="Q147" s="25"/>
      <c r="R147" s="25"/>
      <c r="S147" s="86"/>
      <c r="T147" s="87"/>
      <c r="U147" s="84" t="s">
        <v>113</v>
      </c>
      <c r="V147" s="84" t="s">
        <v>114</v>
      </c>
      <c r="W147" s="86"/>
      <c r="X147" s="87"/>
      <c r="Y147" s="25"/>
      <c r="Z147" s="25"/>
      <c r="AA147" s="25"/>
      <c r="AB147" s="25"/>
      <c r="AC147" s="25"/>
      <c r="AD147" s="25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</row>
    <row r="148" ht="35.25" customHeight="1">
      <c r="A148" s="90">
        <v>1.0</v>
      </c>
      <c r="B148" s="93">
        <f t="shared" ref="B148:B152" si="49">$F$145</f>
        <v>46288</v>
      </c>
      <c r="C148" s="94" t="s">
        <v>115</v>
      </c>
      <c r="D148" s="95"/>
      <c r="E148" s="95"/>
      <c r="F148" s="97">
        <v>778.0</v>
      </c>
      <c r="G148" s="95"/>
      <c r="H148" s="95"/>
      <c r="I148" s="97">
        <v>634.0</v>
      </c>
      <c r="J148" s="95"/>
      <c r="K148" s="95"/>
      <c r="L148" s="97">
        <v>1.9919248E7</v>
      </c>
      <c r="M148" s="95"/>
      <c r="N148" s="95"/>
      <c r="O148" s="95"/>
      <c r="P148" s="95"/>
      <c r="Q148" s="95"/>
      <c r="R148" s="95"/>
      <c r="S148" s="97"/>
      <c r="T148" s="97">
        <v>460.0</v>
      </c>
      <c r="U148" s="95"/>
      <c r="V148" s="95"/>
      <c r="W148" s="97">
        <v>0.0</v>
      </c>
      <c r="X148" s="95"/>
      <c r="Y148" s="100">
        <f t="shared" ref="Y148:Y152" si="50">Y139+W148</f>
        <v>6800000</v>
      </c>
      <c r="Z148" s="97">
        <v>5.5190125E7</v>
      </c>
      <c r="AA148" s="97">
        <v>3217398.0</v>
      </c>
      <c r="AB148" s="97">
        <v>90.0</v>
      </c>
      <c r="AC148" s="97">
        <v>0.0</v>
      </c>
      <c r="AD148" s="101">
        <v>3758695.0</v>
      </c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</row>
    <row r="149" ht="35.25" customHeight="1">
      <c r="A149" s="90">
        <v>2.0</v>
      </c>
      <c r="B149" s="93">
        <f t="shared" si="49"/>
        <v>46288</v>
      </c>
      <c r="C149" s="94" t="s">
        <v>119</v>
      </c>
      <c r="D149" s="95"/>
      <c r="E149" s="95"/>
      <c r="F149" s="97">
        <v>908.0</v>
      </c>
      <c r="G149" s="95"/>
      <c r="H149" s="95"/>
      <c r="I149" s="97">
        <v>739.0</v>
      </c>
      <c r="J149" s="95"/>
      <c r="K149" s="95"/>
      <c r="L149" s="97">
        <v>1.6380393E7</v>
      </c>
      <c r="M149" s="95"/>
      <c r="N149" s="95"/>
      <c r="O149" s="95"/>
      <c r="P149" s="95"/>
      <c r="Q149" s="95"/>
      <c r="R149" s="95"/>
      <c r="S149" s="97"/>
      <c r="T149" s="97">
        <v>349.0</v>
      </c>
      <c r="U149" s="95"/>
      <c r="V149" s="95"/>
      <c r="W149" s="97">
        <v>250000.0</v>
      </c>
      <c r="X149" s="95"/>
      <c r="Y149" s="100">
        <f t="shared" si="50"/>
        <v>4853000</v>
      </c>
      <c r="Z149" s="97">
        <v>5.2572667E7</v>
      </c>
      <c r="AA149" s="97">
        <v>3506216.0</v>
      </c>
      <c r="AB149" s="97">
        <v>95.0</v>
      </c>
      <c r="AC149" s="97">
        <v>1042.0</v>
      </c>
      <c r="AD149" s="101">
        <v>3384238.0</v>
      </c>
      <c r="AE149" s="102" t="s">
        <v>170</v>
      </c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</row>
    <row r="150" ht="35.25" customHeight="1">
      <c r="A150" s="90">
        <v>3.0</v>
      </c>
      <c r="B150" s="93">
        <f t="shared" si="49"/>
        <v>46288</v>
      </c>
      <c r="C150" s="94" t="s">
        <v>123</v>
      </c>
      <c r="D150" s="95"/>
      <c r="E150" s="95"/>
      <c r="F150" s="97">
        <v>915.0</v>
      </c>
      <c r="G150" s="95"/>
      <c r="H150" s="95"/>
      <c r="I150" s="97">
        <v>769.0</v>
      </c>
      <c r="J150" s="95"/>
      <c r="K150" s="95"/>
      <c r="L150" s="97">
        <v>2.3385735E7</v>
      </c>
      <c r="M150" s="95"/>
      <c r="N150" s="95"/>
      <c r="O150" s="95"/>
      <c r="P150" s="95"/>
      <c r="Q150" s="95"/>
      <c r="R150" s="95"/>
      <c r="S150" s="97"/>
      <c r="T150" s="97">
        <v>573.0</v>
      </c>
      <c r="U150" s="95"/>
      <c r="V150" s="95"/>
      <c r="W150" s="97">
        <v>600000.0</v>
      </c>
      <c r="X150" s="95"/>
      <c r="Y150" s="100">
        <f t="shared" si="50"/>
        <v>9106000</v>
      </c>
      <c r="Z150" s="97">
        <v>6.9855228E7</v>
      </c>
      <c r="AA150" s="246">
        <v>3780170.0</v>
      </c>
      <c r="AB150" s="97">
        <v>84.0</v>
      </c>
      <c r="AC150" s="97">
        <v>5519.0</v>
      </c>
      <c r="AD150" s="101">
        <v>3909334.0</v>
      </c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</row>
    <row r="151" ht="35.25" customHeight="1">
      <c r="A151" s="90">
        <v>4.0</v>
      </c>
      <c r="B151" s="93">
        <f t="shared" si="49"/>
        <v>46288</v>
      </c>
      <c r="C151" s="94" t="s">
        <v>128</v>
      </c>
      <c r="D151" s="95"/>
      <c r="E151" s="95"/>
      <c r="F151" s="97">
        <v>882.0</v>
      </c>
      <c r="G151" s="95"/>
      <c r="H151" s="95"/>
      <c r="I151" s="97">
        <v>692.0</v>
      </c>
      <c r="J151" s="95"/>
      <c r="K151" s="95"/>
      <c r="L151" s="108">
        <v>1.5753411E7</v>
      </c>
      <c r="M151" s="95"/>
      <c r="N151" s="95"/>
      <c r="O151" s="95"/>
      <c r="P151" s="95"/>
      <c r="Q151" s="95"/>
      <c r="R151" s="95"/>
      <c r="S151" s="97"/>
      <c r="T151" s="97">
        <v>481.0</v>
      </c>
      <c r="U151" s="95"/>
      <c r="V151" s="95"/>
      <c r="W151" s="97">
        <v>800000.0</v>
      </c>
      <c r="X151" s="95"/>
      <c r="Y151" s="100">
        <f t="shared" si="50"/>
        <v>6830000</v>
      </c>
      <c r="Z151" s="109">
        <v>5.2369238E7</v>
      </c>
      <c r="AA151" s="108">
        <v>3197843.0</v>
      </c>
      <c r="AB151" s="97">
        <v>100.0</v>
      </c>
      <c r="AC151" s="97">
        <v>134.0</v>
      </c>
      <c r="AD151" s="101">
        <v>2880840.0</v>
      </c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</row>
    <row r="152" ht="35.25" customHeight="1">
      <c r="A152" s="90">
        <v>6.0</v>
      </c>
      <c r="B152" s="93">
        <f t="shared" si="49"/>
        <v>46288</v>
      </c>
      <c r="C152" s="113" t="s">
        <v>105</v>
      </c>
      <c r="D152" s="95"/>
      <c r="E152" s="95"/>
      <c r="F152" s="97">
        <v>867.0</v>
      </c>
      <c r="G152" s="95"/>
      <c r="H152" s="95"/>
      <c r="I152" s="115">
        <v>698.0</v>
      </c>
      <c r="J152" s="117"/>
      <c r="K152" s="117"/>
      <c r="L152" s="109">
        <v>1.7714031E7</v>
      </c>
      <c r="M152" s="95"/>
      <c r="N152" s="95"/>
      <c r="O152" s="95"/>
      <c r="P152" s="95"/>
      <c r="Q152" s="95"/>
      <c r="R152" s="95"/>
      <c r="S152" s="97"/>
      <c r="T152" s="97">
        <v>415.0</v>
      </c>
      <c r="U152" s="95"/>
      <c r="V152" s="95"/>
      <c r="W152" s="97">
        <v>60000.0</v>
      </c>
      <c r="X152" s="95"/>
      <c r="Y152" s="100">
        <f t="shared" si="50"/>
        <v>5910000</v>
      </c>
      <c r="Z152" s="109">
        <v>6.1334479E7</v>
      </c>
      <c r="AA152" s="109">
        <v>3706828.0</v>
      </c>
      <c r="AB152" s="97">
        <v>74.0</v>
      </c>
      <c r="AC152" s="97">
        <v>223.0</v>
      </c>
      <c r="AD152" s="101">
        <v>3124202.0</v>
      </c>
      <c r="AE152" s="110"/>
      <c r="AF152" s="102"/>
      <c r="AG152" s="102"/>
      <c r="AH152" s="173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</row>
    <row r="153" ht="20.25" customHeight="1">
      <c r="A153" s="120" t="s">
        <v>96</v>
      </c>
      <c r="B153" s="14"/>
      <c r="C153" s="15"/>
      <c r="D153" s="121">
        <f t="shared" ref="D153:AD153" si="51">SUM(D148:D152)</f>
        <v>0</v>
      </c>
      <c r="E153" s="245">
        <f t="shared" si="51"/>
        <v>0</v>
      </c>
      <c r="F153" s="121">
        <f t="shared" si="51"/>
        <v>4350</v>
      </c>
      <c r="G153" s="121">
        <f t="shared" si="51"/>
        <v>0</v>
      </c>
      <c r="H153" s="121">
        <f t="shared" si="51"/>
        <v>0</v>
      </c>
      <c r="I153" s="121">
        <f t="shared" si="51"/>
        <v>3532</v>
      </c>
      <c r="J153" s="121">
        <f t="shared" si="51"/>
        <v>0</v>
      </c>
      <c r="K153" s="121">
        <f t="shared" si="51"/>
        <v>0</v>
      </c>
      <c r="L153" s="121">
        <f t="shared" si="51"/>
        <v>93152818</v>
      </c>
      <c r="M153" s="121">
        <f t="shared" si="51"/>
        <v>0</v>
      </c>
      <c r="N153" s="121">
        <f t="shared" si="51"/>
        <v>0</v>
      </c>
      <c r="O153" s="121">
        <f t="shared" si="51"/>
        <v>0</v>
      </c>
      <c r="P153" s="121">
        <f t="shared" si="51"/>
        <v>0</v>
      </c>
      <c r="Q153" s="121">
        <f t="shared" si="51"/>
        <v>0</v>
      </c>
      <c r="R153" s="121">
        <f t="shared" si="51"/>
        <v>0</v>
      </c>
      <c r="S153" s="121">
        <f t="shared" si="51"/>
        <v>0</v>
      </c>
      <c r="T153" s="121">
        <f t="shared" si="51"/>
        <v>2278</v>
      </c>
      <c r="U153" s="121">
        <f t="shared" si="51"/>
        <v>0</v>
      </c>
      <c r="V153" s="121">
        <f t="shared" si="51"/>
        <v>0</v>
      </c>
      <c r="W153" s="121">
        <f t="shared" si="51"/>
        <v>1710000</v>
      </c>
      <c r="X153" s="121">
        <f t="shared" si="51"/>
        <v>0</v>
      </c>
      <c r="Y153" s="121">
        <f t="shared" si="51"/>
        <v>33499000</v>
      </c>
      <c r="Z153" s="121">
        <f t="shared" si="51"/>
        <v>291321737</v>
      </c>
      <c r="AA153" s="121">
        <f t="shared" si="51"/>
        <v>17408455</v>
      </c>
      <c r="AB153" s="121">
        <f t="shared" si="51"/>
        <v>443</v>
      </c>
      <c r="AC153" s="121">
        <f t="shared" si="51"/>
        <v>6918</v>
      </c>
      <c r="AD153" s="121">
        <f t="shared" si="51"/>
        <v>17057309</v>
      </c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</row>
    <row r="154" ht="15.75" customHeight="1">
      <c r="A154" s="38"/>
      <c r="B154" s="38"/>
      <c r="C154" s="38" t="s">
        <v>50</v>
      </c>
      <c r="F154" s="133">
        <f>F145+1</f>
        <v>46289</v>
      </c>
      <c r="G154" s="23"/>
      <c r="H154" s="23"/>
      <c r="I154" s="23"/>
      <c r="K154" s="50">
        <f>F154</f>
        <v>46289</v>
      </c>
      <c r="L154" s="23"/>
      <c r="M154" s="23"/>
      <c r="N154" s="23"/>
      <c r="O154" s="23"/>
      <c r="P154" s="23"/>
      <c r="Q154" s="23"/>
      <c r="R154" s="23"/>
      <c r="S154" s="23"/>
      <c r="T154" s="23"/>
      <c r="W154" s="54"/>
      <c r="X154" s="54"/>
      <c r="Y154" s="54"/>
      <c r="Z154" s="54"/>
      <c r="AA154" s="56"/>
      <c r="AB154" s="54"/>
      <c r="AC154" s="54"/>
      <c r="AD154" s="54"/>
      <c r="AE154" s="54"/>
      <c r="AF154" s="57"/>
      <c r="AG154" s="57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</row>
    <row r="155" ht="15.75" customHeight="1">
      <c r="A155" s="60" t="s">
        <v>74</v>
      </c>
      <c r="B155" s="63" t="s">
        <v>78</v>
      </c>
      <c r="C155" s="65" t="s">
        <v>53</v>
      </c>
      <c r="D155" s="66" t="s">
        <v>58</v>
      </c>
      <c r="E155" s="15"/>
      <c r="F155" s="68" t="s">
        <v>81</v>
      </c>
      <c r="G155" s="70" t="s">
        <v>82</v>
      </c>
      <c r="H155" s="15"/>
      <c r="I155" s="68" t="s">
        <v>84</v>
      </c>
      <c r="J155" s="68" t="s">
        <v>85</v>
      </c>
      <c r="K155" s="68" t="s">
        <v>86</v>
      </c>
      <c r="L155" s="68" t="s">
        <v>66</v>
      </c>
      <c r="M155" s="68" t="s">
        <v>88</v>
      </c>
      <c r="N155" s="68" t="s">
        <v>89</v>
      </c>
      <c r="O155" s="72" t="s">
        <v>90</v>
      </c>
      <c r="P155" s="15"/>
      <c r="Q155" s="68" t="s">
        <v>92</v>
      </c>
      <c r="R155" s="68" t="s">
        <v>93</v>
      </c>
      <c r="S155" s="76" t="s">
        <v>147</v>
      </c>
      <c r="T155" s="77"/>
      <c r="U155" s="70" t="s">
        <v>95</v>
      </c>
      <c r="V155" s="15"/>
      <c r="W155" s="76" t="s">
        <v>97</v>
      </c>
      <c r="X155" s="77"/>
      <c r="Y155" s="68" t="s">
        <v>102</v>
      </c>
      <c r="Z155" s="68" t="s">
        <v>103</v>
      </c>
      <c r="AA155" s="68" t="s">
        <v>104</v>
      </c>
      <c r="AB155" s="68" t="s">
        <v>106</v>
      </c>
      <c r="AC155" s="68" t="s">
        <v>107</v>
      </c>
      <c r="AD155" s="247" t="s">
        <v>171</v>
      </c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</row>
    <row r="156" ht="27.75" customHeight="1">
      <c r="A156" s="25"/>
      <c r="B156" s="25"/>
      <c r="C156" s="25"/>
      <c r="D156" s="84" t="s">
        <v>109</v>
      </c>
      <c r="E156" s="84" t="s">
        <v>110</v>
      </c>
      <c r="F156" s="25"/>
      <c r="G156" s="84" t="s">
        <v>109</v>
      </c>
      <c r="H156" s="84" t="s">
        <v>110</v>
      </c>
      <c r="I156" s="25"/>
      <c r="J156" s="25"/>
      <c r="K156" s="25"/>
      <c r="L156" s="25"/>
      <c r="M156" s="25"/>
      <c r="N156" s="25"/>
      <c r="O156" s="85" t="s">
        <v>111</v>
      </c>
      <c r="P156" s="84" t="s">
        <v>112</v>
      </c>
      <c r="Q156" s="25"/>
      <c r="R156" s="25"/>
      <c r="S156" s="86"/>
      <c r="T156" s="87"/>
      <c r="U156" s="84" t="s">
        <v>113</v>
      </c>
      <c r="V156" s="84" t="s">
        <v>114</v>
      </c>
      <c r="W156" s="86"/>
      <c r="X156" s="87"/>
      <c r="Y156" s="25"/>
      <c r="Z156" s="25"/>
      <c r="AA156" s="25"/>
      <c r="AB156" s="25"/>
      <c r="AC156" s="25"/>
      <c r="AD156" s="25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</row>
    <row r="157" ht="35.25" customHeight="1">
      <c r="A157" s="90">
        <v>1.0</v>
      </c>
      <c r="B157" s="93">
        <f t="shared" ref="B157:B161" si="52">$F$154</f>
        <v>46289</v>
      </c>
      <c r="C157" s="94" t="s">
        <v>115</v>
      </c>
      <c r="D157" s="95"/>
      <c r="E157" s="95"/>
      <c r="F157" s="97">
        <v>778.0</v>
      </c>
      <c r="G157" s="95"/>
      <c r="H157" s="95"/>
      <c r="I157" s="97">
        <v>638.0</v>
      </c>
      <c r="J157" s="95"/>
      <c r="K157" s="95"/>
      <c r="L157" s="97">
        <v>1.9967482E7</v>
      </c>
      <c r="M157" s="95"/>
      <c r="N157" s="95"/>
      <c r="O157" s="95"/>
      <c r="P157" s="95"/>
      <c r="Q157" s="95"/>
      <c r="R157" s="95"/>
      <c r="S157" s="97"/>
      <c r="T157" s="97">
        <v>478.0</v>
      </c>
      <c r="U157" s="95"/>
      <c r="V157" s="95"/>
      <c r="W157" s="97">
        <v>530000.0</v>
      </c>
      <c r="X157" s="95"/>
      <c r="Y157" s="100">
        <f t="shared" ref="Y157:Y161" si="53">Y148+W157</f>
        <v>7330000</v>
      </c>
      <c r="Z157" s="97">
        <v>5.5512872E7</v>
      </c>
      <c r="AA157" s="97">
        <v>3155624.0</v>
      </c>
      <c r="AB157" s="97">
        <v>92.0</v>
      </c>
      <c r="AC157" s="97">
        <v>0.0</v>
      </c>
      <c r="AD157" s="101">
        <v>3523670.0</v>
      </c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</row>
    <row r="158" ht="35.25" customHeight="1">
      <c r="A158" s="90">
        <v>2.0</v>
      </c>
      <c r="B158" s="93">
        <f t="shared" si="52"/>
        <v>46289</v>
      </c>
      <c r="C158" s="94" t="s">
        <v>119</v>
      </c>
      <c r="D158" s="95"/>
      <c r="E158" s="95"/>
      <c r="F158" s="97">
        <v>908.0</v>
      </c>
      <c r="G158" s="95"/>
      <c r="H158" s="95"/>
      <c r="I158" s="97">
        <v>740.0</v>
      </c>
      <c r="J158" s="95"/>
      <c r="K158" s="95"/>
      <c r="L158" s="97">
        <v>1.6392117E7</v>
      </c>
      <c r="M158" s="95"/>
      <c r="N158" s="95"/>
      <c r="O158" s="95"/>
      <c r="P158" s="95"/>
      <c r="Q158" s="95"/>
      <c r="R158" s="95"/>
      <c r="S158" s="97"/>
      <c r="T158" s="97">
        <v>367.0</v>
      </c>
      <c r="U158" s="95"/>
      <c r="V158" s="95"/>
      <c r="W158" s="97">
        <v>80000.0</v>
      </c>
      <c r="X158" s="95"/>
      <c r="Y158" s="100">
        <f t="shared" si="53"/>
        <v>4933000</v>
      </c>
      <c r="Z158" s="97">
        <v>5.2446455E7</v>
      </c>
      <c r="AA158" s="97">
        <v>3410681.0</v>
      </c>
      <c r="AB158" s="97">
        <v>97.0</v>
      </c>
      <c r="AC158" s="97">
        <v>573.0</v>
      </c>
      <c r="AD158" s="101">
        <v>3559520.0</v>
      </c>
      <c r="AE158" s="102" t="s">
        <v>170</v>
      </c>
      <c r="AF158" s="102"/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</row>
    <row r="159" ht="35.25" customHeight="1">
      <c r="A159" s="90">
        <v>3.0</v>
      </c>
      <c r="B159" s="93">
        <f t="shared" si="52"/>
        <v>46289</v>
      </c>
      <c r="C159" s="94" t="s">
        <v>123</v>
      </c>
      <c r="D159" s="95"/>
      <c r="E159" s="95"/>
      <c r="F159" s="97">
        <v>913.0</v>
      </c>
      <c r="G159" s="95"/>
      <c r="H159" s="95"/>
      <c r="I159" s="97">
        <v>771.0</v>
      </c>
      <c r="J159" s="95"/>
      <c r="K159" s="95"/>
      <c r="L159" s="97">
        <v>2.338438E7</v>
      </c>
      <c r="M159" s="95"/>
      <c r="N159" s="95"/>
      <c r="O159" s="95"/>
      <c r="P159" s="95"/>
      <c r="Q159" s="95"/>
      <c r="R159" s="95"/>
      <c r="S159" s="97"/>
      <c r="T159" s="97">
        <v>594.0</v>
      </c>
      <c r="U159" s="95"/>
      <c r="V159" s="95"/>
      <c r="W159" s="97">
        <v>120000.0</v>
      </c>
      <c r="X159" s="95"/>
      <c r="Y159" s="100">
        <f t="shared" si="53"/>
        <v>9226000</v>
      </c>
      <c r="Z159" s="97">
        <v>6.9744313E7</v>
      </c>
      <c r="AA159" s="106">
        <v>3684108.0</v>
      </c>
      <c r="AB159" s="97">
        <v>86.0</v>
      </c>
      <c r="AC159" s="97">
        <v>0.0</v>
      </c>
      <c r="AD159" s="101">
        <v>4067234.0</v>
      </c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</row>
    <row r="160" ht="35.25" customHeight="1">
      <c r="A160" s="90">
        <v>4.0</v>
      </c>
      <c r="B160" s="93">
        <f t="shared" si="52"/>
        <v>46289</v>
      </c>
      <c r="C160" s="94" t="s">
        <v>128</v>
      </c>
      <c r="D160" s="95"/>
      <c r="E160" s="95"/>
      <c r="F160" s="97">
        <v>883.0</v>
      </c>
      <c r="G160" s="95"/>
      <c r="H160" s="95"/>
      <c r="I160" s="97">
        <v>695.0</v>
      </c>
      <c r="J160" s="95"/>
      <c r="K160" s="95"/>
      <c r="L160" s="108">
        <v>1.5828795E7</v>
      </c>
      <c r="M160" s="95"/>
      <c r="N160" s="95"/>
      <c r="O160" s="95"/>
      <c r="P160" s="95"/>
      <c r="Q160" s="95"/>
      <c r="R160" s="95"/>
      <c r="S160" s="97"/>
      <c r="T160" s="97">
        <v>493.0</v>
      </c>
      <c r="U160" s="95"/>
      <c r="V160" s="95"/>
      <c r="W160" s="97">
        <v>760000.0</v>
      </c>
      <c r="X160" s="95"/>
      <c r="Y160" s="100">
        <f t="shared" si="53"/>
        <v>7590000</v>
      </c>
      <c r="Z160" s="109">
        <v>5.3045169E7</v>
      </c>
      <c r="AA160" s="109">
        <v>3178568.0</v>
      </c>
      <c r="AB160" s="97">
        <v>100.0</v>
      </c>
      <c r="AC160" s="97">
        <v>119.0</v>
      </c>
      <c r="AD160" s="101">
        <v>2300620.0</v>
      </c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</row>
    <row r="161" ht="35.25" customHeight="1">
      <c r="A161" s="90">
        <v>6.0</v>
      </c>
      <c r="B161" s="93">
        <f t="shared" si="52"/>
        <v>46289</v>
      </c>
      <c r="C161" s="113" t="s">
        <v>105</v>
      </c>
      <c r="D161" s="95"/>
      <c r="E161" s="95"/>
      <c r="F161" s="97">
        <v>866.0</v>
      </c>
      <c r="G161" s="95"/>
      <c r="H161" s="95"/>
      <c r="I161" s="115">
        <v>700.0</v>
      </c>
      <c r="J161" s="117"/>
      <c r="K161" s="117"/>
      <c r="L161" s="109">
        <v>1.7630375E7</v>
      </c>
      <c r="M161" s="95"/>
      <c r="N161" s="95"/>
      <c r="O161" s="95"/>
      <c r="P161" s="95"/>
      <c r="Q161" s="95"/>
      <c r="R161" s="95"/>
      <c r="S161" s="97"/>
      <c r="T161" s="97">
        <v>441.0</v>
      </c>
      <c r="U161" s="95"/>
      <c r="V161" s="95"/>
      <c r="W161" s="97">
        <v>480000.0</v>
      </c>
      <c r="X161" s="95"/>
      <c r="Y161" s="100">
        <f t="shared" si="53"/>
        <v>6390000</v>
      </c>
      <c r="Z161" s="109">
        <v>6.1474661E7</v>
      </c>
      <c r="AA161" s="109">
        <v>3575490.0</v>
      </c>
      <c r="AB161" s="97">
        <v>100.0</v>
      </c>
      <c r="AC161" s="97">
        <v>126.0</v>
      </c>
      <c r="AD161" s="101">
        <v>3276637.0</v>
      </c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</row>
    <row r="162" ht="20.25" customHeight="1">
      <c r="A162" s="120" t="s">
        <v>96</v>
      </c>
      <c r="B162" s="14"/>
      <c r="C162" s="15"/>
      <c r="D162" s="121">
        <f t="shared" ref="D162:AD162" si="54">SUM(D157:D161)</f>
        <v>0</v>
      </c>
      <c r="E162" s="245">
        <f t="shared" si="54"/>
        <v>0</v>
      </c>
      <c r="F162" s="121">
        <f t="shared" si="54"/>
        <v>4348</v>
      </c>
      <c r="G162" s="121">
        <f t="shared" si="54"/>
        <v>0</v>
      </c>
      <c r="H162" s="121">
        <f t="shared" si="54"/>
        <v>0</v>
      </c>
      <c r="I162" s="121">
        <f t="shared" si="54"/>
        <v>3544</v>
      </c>
      <c r="J162" s="121">
        <f t="shared" si="54"/>
        <v>0</v>
      </c>
      <c r="K162" s="121">
        <f t="shared" si="54"/>
        <v>0</v>
      </c>
      <c r="L162" s="121">
        <f t="shared" si="54"/>
        <v>93203149</v>
      </c>
      <c r="M162" s="121">
        <f t="shared" si="54"/>
        <v>0</v>
      </c>
      <c r="N162" s="121">
        <f t="shared" si="54"/>
        <v>0</v>
      </c>
      <c r="O162" s="121">
        <f t="shared" si="54"/>
        <v>0</v>
      </c>
      <c r="P162" s="121">
        <f t="shared" si="54"/>
        <v>0</v>
      </c>
      <c r="Q162" s="121">
        <f t="shared" si="54"/>
        <v>0</v>
      </c>
      <c r="R162" s="121">
        <f t="shared" si="54"/>
        <v>0</v>
      </c>
      <c r="S162" s="121">
        <f t="shared" si="54"/>
        <v>0</v>
      </c>
      <c r="T162" s="121">
        <f t="shared" si="54"/>
        <v>2373</v>
      </c>
      <c r="U162" s="121">
        <f t="shared" si="54"/>
        <v>0</v>
      </c>
      <c r="V162" s="121">
        <f t="shared" si="54"/>
        <v>0</v>
      </c>
      <c r="W162" s="121">
        <f t="shared" si="54"/>
        <v>1970000</v>
      </c>
      <c r="X162" s="121">
        <f t="shared" si="54"/>
        <v>0</v>
      </c>
      <c r="Y162" s="121">
        <f t="shared" si="54"/>
        <v>35469000</v>
      </c>
      <c r="Z162" s="121">
        <f t="shared" si="54"/>
        <v>292223470</v>
      </c>
      <c r="AA162" s="121">
        <f t="shared" si="54"/>
        <v>17004471</v>
      </c>
      <c r="AB162" s="121">
        <f t="shared" si="54"/>
        <v>475</v>
      </c>
      <c r="AC162" s="121">
        <f t="shared" si="54"/>
        <v>818</v>
      </c>
      <c r="AD162" s="121">
        <f t="shared" si="54"/>
        <v>16727681</v>
      </c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</row>
    <row r="163" ht="15.75" customHeight="1">
      <c r="A163" s="38"/>
      <c r="B163" s="38"/>
      <c r="C163" s="38" t="s">
        <v>50</v>
      </c>
      <c r="F163" s="133">
        <f>F154+3</f>
        <v>46292</v>
      </c>
      <c r="G163" s="23"/>
      <c r="H163" s="23"/>
      <c r="I163" s="23"/>
      <c r="K163" s="50">
        <f>F163</f>
        <v>46292</v>
      </c>
      <c r="L163" s="23"/>
      <c r="M163" s="23"/>
      <c r="N163" s="23"/>
      <c r="O163" s="23"/>
      <c r="P163" s="23"/>
      <c r="Q163" s="23"/>
      <c r="R163" s="23"/>
      <c r="S163" s="23"/>
      <c r="T163" s="23"/>
      <c r="W163" s="54"/>
      <c r="X163" s="54"/>
      <c r="Y163" s="54"/>
      <c r="Z163" s="54"/>
      <c r="AA163" s="56"/>
      <c r="AB163" s="54"/>
      <c r="AC163" s="54"/>
      <c r="AD163" s="54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</row>
    <row r="164" ht="15.75" customHeight="1">
      <c r="A164" s="60" t="s">
        <v>74</v>
      </c>
      <c r="B164" s="63" t="s">
        <v>78</v>
      </c>
      <c r="C164" s="65" t="s">
        <v>53</v>
      </c>
      <c r="D164" s="66" t="s">
        <v>58</v>
      </c>
      <c r="E164" s="15"/>
      <c r="F164" s="68" t="s">
        <v>81</v>
      </c>
      <c r="G164" s="70" t="s">
        <v>82</v>
      </c>
      <c r="H164" s="15"/>
      <c r="I164" s="68" t="s">
        <v>84</v>
      </c>
      <c r="J164" s="68" t="s">
        <v>85</v>
      </c>
      <c r="K164" s="68" t="s">
        <v>86</v>
      </c>
      <c r="L164" s="68" t="s">
        <v>66</v>
      </c>
      <c r="M164" s="68" t="s">
        <v>88</v>
      </c>
      <c r="N164" s="68" t="s">
        <v>89</v>
      </c>
      <c r="O164" s="72" t="s">
        <v>90</v>
      </c>
      <c r="P164" s="15"/>
      <c r="Q164" s="68" t="s">
        <v>92</v>
      </c>
      <c r="R164" s="68" t="s">
        <v>93</v>
      </c>
      <c r="S164" s="76" t="s">
        <v>147</v>
      </c>
      <c r="T164" s="77"/>
      <c r="U164" s="70" t="s">
        <v>95</v>
      </c>
      <c r="V164" s="15"/>
      <c r="W164" s="76" t="s">
        <v>97</v>
      </c>
      <c r="X164" s="77"/>
      <c r="Y164" s="68" t="s">
        <v>102</v>
      </c>
      <c r="Z164" s="68" t="s">
        <v>103</v>
      </c>
      <c r="AA164" s="68" t="s">
        <v>104</v>
      </c>
      <c r="AB164" s="68" t="s">
        <v>106</v>
      </c>
      <c r="AC164" s="68" t="s">
        <v>107</v>
      </c>
      <c r="AD164" s="81" t="s">
        <v>108</v>
      </c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</row>
    <row r="165" ht="24.75" customHeight="1">
      <c r="A165" s="25"/>
      <c r="B165" s="25"/>
      <c r="C165" s="25"/>
      <c r="D165" s="84" t="s">
        <v>109</v>
      </c>
      <c r="E165" s="84" t="s">
        <v>110</v>
      </c>
      <c r="F165" s="25"/>
      <c r="G165" s="84" t="s">
        <v>109</v>
      </c>
      <c r="H165" s="84" t="s">
        <v>110</v>
      </c>
      <c r="I165" s="25"/>
      <c r="J165" s="25"/>
      <c r="K165" s="25"/>
      <c r="L165" s="25"/>
      <c r="M165" s="25"/>
      <c r="N165" s="25"/>
      <c r="O165" s="85" t="s">
        <v>111</v>
      </c>
      <c r="P165" s="84" t="s">
        <v>112</v>
      </c>
      <c r="Q165" s="25"/>
      <c r="R165" s="25"/>
      <c r="S165" s="86"/>
      <c r="T165" s="87"/>
      <c r="U165" s="84" t="s">
        <v>113</v>
      </c>
      <c r="V165" s="84" t="s">
        <v>114</v>
      </c>
      <c r="W165" s="86"/>
      <c r="X165" s="87"/>
      <c r="Y165" s="25"/>
      <c r="Z165" s="25"/>
      <c r="AA165" s="25"/>
      <c r="AB165" s="25"/>
      <c r="AC165" s="25"/>
      <c r="AD165" s="25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</row>
    <row r="166" ht="35.25" customHeight="1">
      <c r="A166" s="90">
        <v>1.0</v>
      </c>
      <c r="B166" s="93">
        <f t="shared" ref="B166:B170" si="55">$F$163</f>
        <v>46292</v>
      </c>
      <c r="C166" s="94" t="s">
        <v>115</v>
      </c>
      <c r="D166" s="95"/>
      <c r="E166" s="95"/>
      <c r="F166" s="97">
        <v>777.0</v>
      </c>
      <c r="G166" s="95"/>
      <c r="H166" s="95"/>
      <c r="I166" s="97">
        <v>638.0</v>
      </c>
      <c r="J166" s="95"/>
      <c r="K166" s="95"/>
      <c r="L166" s="97">
        <v>1.9775794E7</v>
      </c>
      <c r="M166" s="95"/>
      <c r="N166" s="95"/>
      <c r="O166" s="95"/>
      <c r="P166" s="95"/>
      <c r="Q166" s="95"/>
      <c r="R166" s="95"/>
      <c r="S166" s="97"/>
      <c r="T166" s="97">
        <v>500.0</v>
      </c>
      <c r="U166" s="95"/>
      <c r="V166" s="95"/>
      <c r="W166" s="97">
        <v>190000.0</v>
      </c>
      <c r="X166" s="95"/>
      <c r="Y166" s="100">
        <f t="shared" ref="Y166:Y170" si="56">Y157+W166</f>
        <v>7520000</v>
      </c>
      <c r="Z166" s="97">
        <v>5.5229071E7</v>
      </c>
      <c r="AA166" s="97">
        <v>2913466.0</v>
      </c>
      <c r="AB166" s="97">
        <v>95.0</v>
      </c>
      <c r="AC166" s="97">
        <v>3.0</v>
      </c>
      <c r="AD166" s="101">
        <v>3664604.0</v>
      </c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</row>
    <row r="167" ht="35.25" customHeight="1">
      <c r="A167" s="90">
        <v>2.0</v>
      </c>
      <c r="B167" s="93">
        <f t="shared" si="55"/>
        <v>46292</v>
      </c>
      <c r="C167" s="94" t="s">
        <v>119</v>
      </c>
      <c r="D167" s="95"/>
      <c r="E167" s="95"/>
      <c r="F167" s="97">
        <v>908.0</v>
      </c>
      <c r="G167" s="95"/>
      <c r="H167" s="95"/>
      <c r="I167" s="97">
        <v>746.0</v>
      </c>
      <c r="J167" s="95"/>
      <c r="K167" s="95"/>
      <c r="L167" s="97">
        <v>1.6365069E7</v>
      </c>
      <c r="M167" s="95"/>
      <c r="N167" s="95"/>
      <c r="O167" s="95"/>
      <c r="P167" s="95"/>
      <c r="Q167" s="95"/>
      <c r="R167" s="95"/>
      <c r="S167" s="97"/>
      <c r="T167" s="97">
        <v>398.0</v>
      </c>
      <c r="U167" s="95"/>
      <c r="V167" s="95"/>
      <c r="W167" s="97">
        <v>770000.0</v>
      </c>
      <c r="X167" s="95"/>
      <c r="Y167" s="100">
        <f t="shared" si="56"/>
        <v>5703000</v>
      </c>
      <c r="Z167" s="97">
        <v>5.2861164E7</v>
      </c>
      <c r="AA167" s="97">
        <v>3292866.0</v>
      </c>
      <c r="AB167" s="97">
        <v>96.0</v>
      </c>
      <c r="AC167" s="97">
        <v>4102.0</v>
      </c>
      <c r="AD167" s="101">
        <v>3182780.0</v>
      </c>
      <c r="AE167" s="102" t="s">
        <v>170</v>
      </c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</row>
    <row r="168" ht="35.25" customHeight="1">
      <c r="A168" s="90">
        <v>3.0</v>
      </c>
      <c r="B168" s="93">
        <f t="shared" si="55"/>
        <v>46292</v>
      </c>
      <c r="C168" s="94" t="s">
        <v>123</v>
      </c>
      <c r="D168" s="95"/>
      <c r="E168" s="95"/>
      <c r="F168" s="97">
        <v>913.0</v>
      </c>
      <c r="G168" s="95"/>
      <c r="H168" s="95"/>
      <c r="I168" s="97">
        <v>769.0</v>
      </c>
      <c r="J168" s="95"/>
      <c r="K168" s="95"/>
      <c r="L168" s="97">
        <v>2.3156903E7</v>
      </c>
      <c r="M168" s="95"/>
      <c r="N168" s="95"/>
      <c r="O168" s="95"/>
      <c r="P168" s="95"/>
      <c r="Q168" s="95"/>
      <c r="R168" s="95"/>
      <c r="S168" s="97"/>
      <c r="T168" s="97">
        <v>625.0</v>
      </c>
      <c r="U168" s="95"/>
      <c r="V168" s="95"/>
      <c r="W168" s="97">
        <v>0.0</v>
      </c>
      <c r="X168" s="95"/>
      <c r="Y168" s="100">
        <f t="shared" si="56"/>
        <v>9226000</v>
      </c>
      <c r="Z168" s="97">
        <v>6.9023126E7</v>
      </c>
      <c r="AA168" s="106">
        <v>3308944.0</v>
      </c>
      <c r="AB168" s="97">
        <v>1300.0</v>
      </c>
      <c r="AC168" s="97">
        <v>1300.0</v>
      </c>
      <c r="AD168" s="101">
        <v>4640734.0</v>
      </c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</row>
    <row r="169" ht="35.25" customHeight="1">
      <c r="A169" s="90">
        <v>4.0</v>
      </c>
      <c r="B169" s="93">
        <f t="shared" si="55"/>
        <v>46292</v>
      </c>
      <c r="C169" s="94" t="s">
        <v>128</v>
      </c>
      <c r="D169" s="95"/>
      <c r="E169" s="95"/>
      <c r="F169" s="97">
        <v>884.0</v>
      </c>
      <c r="G169" s="95"/>
      <c r="H169" s="95"/>
      <c r="I169" s="97">
        <v>695.0</v>
      </c>
      <c r="J169" s="95"/>
      <c r="K169" s="95"/>
      <c r="L169" s="108">
        <v>1.5838481E7</v>
      </c>
      <c r="M169" s="95"/>
      <c r="N169" s="95"/>
      <c r="O169" s="95"/>
      <c r="P169" s="95"/>
      <c r="Q169" s="95"/>
      <c r="R169" s="95"/>
      <c r="S169" s="97"/>
      <c r="T169" s="97">
        <v>505.0</v>
      </c>
      <c r="U169" s="95"/>
      <c r="V169" s="95"/>
      <c r="W169" s="97">
        <v>0.0</v>
      </c>
      <c r="X169" s="95"/>
      <c r="Y169" s="100">
        <f t="shared" si="56"/>
        <v>7590000</v>
      </c>
      <c r="Z169" s="109">
        <v>5.2862165E7</v>
      </c>
      <c r="AA169" s="109">
        <v>3049093.0</v>
      </c>
      <c r="AB169" s="97">
        <v>100.0</v>
      </c>
      <c r="AC169" s="97">
        <v>110.0</v>
      </c>
      <c r="AD169" s="101">
        <v>2522670.0</v>
      </c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2"/>
    </row>
    <row r="170" ht="35.25" customHeight="1">
      <c r="A170" s="90">
        <v>6.0</v>
      </c>
      <c r="B170" s="93">
        <f t="shared" si="55"/>
        <v>46292</v>
      </c>
      <c r="C170" s="113" t="s">
        <v>105</v>
      </c>
      <c r="D170" s="95"/>
      <c r="E170" s="95"/>
      <c r="F170" s="97">
        <v>866.0</v>
      </c>
      <c r="G170" s="95"/>
      <c r="H170" s="95"/>
      <c r="I170" s="115">
        <v>702.0</v>
      </c>
      <c r="J170" s="117"/>
      <c r="K170" s="117"/>
      <c r="L170" s="109">
        <v>1.7607388E7</v>
      </c>
      <c r="M170" s="95"/>
      <c r="N170" s="95"/>
      <c r="O170" s="95"/>
      <c r="P170" s="95"/>
      <c r="Q170" s="95"/>
      <c r="R170" s="95"/>
      <c r="S170" s="97"/>
      <c r="T170" s="97">
        <v>468.0</v>
      </c>
      <c r="U170" s="95"/>
      <c r="V170" s="95"/>
      <c r="W170" s="97">
        <v>625000.0</v>
      </c>
      <c r="X170" s="95"/>
      <c r="Y170" s="100">
        <f t="shared" si="56"/>
        <v>7015000</v>
      </c>
      <c r="Z170" s="109">
        <v>6.1782782E7</v>
      </c>
      <c r="AA170" s="109">
        <v>3459740.0</v>
      </c>
      <c r="AB170" s="97">
        <v>89.0</v>
      </c>
      <c r="AC170" s="97">
        <v>321.0</v>
      </c>
      <c r="AD170" s="101">
        <v>3011739.0</v>
      </c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</row>
    <row r="171" ht="20.25" customHeight="1">
      <c r="A171" s="120" t="s">
        <v>96</v>
      </c>
      <c r="B171" s="14"/>
      <c r="C171" s="15"/>
      <c r="D171" s="121">
        <f t="shared" ref="D171:AD171" si="57">SUM(D166:D170)</f>
        <v>0</v>
      </c>
      <c r="E171" s="245">
        <f t="shared" si="57"/>
        <v>0</v>
      </c>
      <c r="F171" s="121">
        <f t="shared" si="57"/>
        <v>4348</v>
      </c>
      <c r="G171" s="121">
        <f t="shared" si="57"/>
        <v>0</v>
      </c>
      <c r="H171" s="121">
        <f t="shared" si="57"/>
        <v>0</v>
      </c>
      <c r="I171" s="121">
        <f t="shared" si="57"/>
        <v>3550</v>
      </c>
      <c r="J171" s="121">
        <f t="shared" si="57"/>
        <v>0</v>
      </c>
      <c r="K171" s="121">
        <f t="shared" si="57"/>
        <v>0</v>
      </c>
      <c r="L171" s="121">
        <f t="shared" si="57"/>
        <v>92743635</v>
      </c>
      <c r="M171" s="121">
        <f t="shared" si="57"/>
        <v>0</v>
      </c>
      <c r="N171" s="121">
        <f t="shared" si="57"/>
        <v>0</v>
      </c>
      <c r="O171" s="121">
        <f t="shared" si="57"/>
        <v>0</v>
      </c>
      <c r="P171" s="121">
        <f t="shared" si="57"/>
        <v>0</v>
      </c>
      <c r="Q171" s="121">
        <f t="shared" si="57"/>
        <v>0</v>
      </c>
      <c r="R171" s="121">
        <f t="shared" si="57"/>
        <v>0</v>
      </c>
      <c r="S171" s="121">
        <f t="shared" si="57"/>
        <v>0</v>
      </c>
      <c r="T171" s="121">
        <f t="shared" si="57"/>
        <v>2496</v>
      </c>
      <c r="U171" s="121">
        <f t="shared" si="57"/>
        <v>0</v>
      </c>
      <c r="V171" s="121">
        <f t="shared" si="57"/>
        <v>0</v>
      </c>
      <c r="W171" s="121">
        <f t="shared" si="57"/>
        <v>1585000</v>
      </c>
      <c r="X171" s="121">
        <f t="shared" si="57"/>
        <v>0</v>
      </c>
      <c r="Y171" s="121">
        <f t="shared" si="57"/>
        <v>37054000</v>
      </c>
      <c r="Z171" s="121">
        <f t="shared" si="57"/>
        <v>291758308</v>
      </c>
      <c r="AA171" s="121">
        <f t="shared" si="57"/>
        <v>16024109</v>
      </c>
      <c r="AB171" s="121">
        <f t="shared" si="57"/>
        <v>1680</v>
      </c>
      <c r="AC171" s="121">
        <f t="shared" si="57"/>
        <v>5836</v>
      </c>
      <c r="AD171" s="121">
        <f t="shared" si="57"/>
        <v>17022527</v>
      </c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</row>
    <row r="172" ht="19.5" customHeight="1">
      <c r="A172" s="38"/>
      <c r="B172" s="38"/>
      <c r="C172" s="38" t="s">
        <v>50</v>
      </c>
      <c r="F172" s="133">
        <f>F163+1</f>
        <v>46293</v>
      </c>
      <c r="G172" s="23"/>
      <c r="H172" s="23"/>
      <c r="I172" s="23"/>
      <c r="K172" s="50">
        <f>F172</f>
        <v>46293</v>
      </c>
      <c r="L172" s="23"/>
      <c r="M172" s="23"/>
      <c r="N172" s="23"/>
      <c r="O172" s="23"/>
      <c r="P172" s="23"/>
      <c r="Q172" s="23"/>
      <c r="R172" s="23"/>
      <c r="S172" s="23"/>
      <c r="T172" s="23"/>
      <c r="W172" s="54"/>
      <c r="X172" s="54"/>
      <c r="Y172" s="54"/>
      <c r="Z172" s="54"/>
      <c r="AA172" s="56"/>
      <c r="AB172" s="54"/>
      <c r="AC172" s="54"/>
      <c r="AD172" s="54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</row>
    <row r="173" ht="15.75" customHeight="1">
      <c r="A173" s="60" t="s">
        <v>74</v>
      </c>
      <c r="B173" s="63" t="s">
        <v>78</v>
      </c>
      <c r="C173" s="65" t="s">
        <v>53</v>
      </c>
      <c r="D173" s="66" t="s">
        <v>58</v>
      </c>
      <c r="E173" s="15"/>
      <c r="F173" s="68" t="s">
        <v>81</v>
      </c>
      <c r="G173" s="70" t="s">
        <v>82</v>
      </c>
      <c r="H173" s="15"/>
      <c r="I173" s="68" t="s">
        <v>84</v>
      </c>
      <c r="J173" s="68" t="s">
        <v>85</v>
      </c>
      <c r="K173" s="68" t="s">
        <v>86</v>
      </c>
      <c r="L173" s="68" t="s">
        <v>66</v>
      </c>
      <c r="M173" s="68" t="s">
        <v>88</v>
      </c>
      <c r="N173" s="68" t="s">
        <v>89</v>
      </c>
      <c r="O173" s="72" t="s">
        <v>90</v>
      </c>
      <c r="P173" s="15"/>
      <c r="Q173" s="68" t="s">
        <v>92</v>
      </c>
      <c r="R173" s="68" t="s">
        <v>93</v>
      </c>
      <c r="S173" s="76" t="s">
        <v>147</v>
      </c>
      <c r="T173" s="77"/>
      <c r="U173" s="70" t="s">
        <v>95</v>
      </c>
      <c r="V173" s="15"/>
      <c r="W173" s="76" t="s">
        <v>97</v>
      </c>
      <c r="X173" s="77"/>
      <c r="Y173" s="68" t="s">
        <v>102</v>
      </c>
      <c r="Z173" s="68" t="s">
        <v>103</v>
      </c>
      <c r="AA173" s="68" t="s">
        <v>104</v>
      </c>
      <c r="AB173" s="68" t="s">
        <v>106</v>
      </c>
      <c r="AC173" s="68" t="s">
        <v>107</v>
      </c>
      <c r="AD173" s="81" t="s">
        <v>108</v>
      </c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</row>
    <row r="174" ht="27.75" customHeight="1">
      <c r="A174" s="25"/>
      <c r="B174" s="25"/>
      <c r="C174" s="25"/>
      <c r="D174" s="84" t="s">
        <v>109</v>
      </c>
      <c r="E174" s="84" t="s">
        <v>110</v>
      </c>
      <c r="F174" s="25"/>
      <c r="G174" s="84" t="s">
        <v>109</v>
      </c>
      <c r="H174" s="84" t="s">
        <v>110</v>
      </c>
      <c r="I174" s="25"/>
      <c r="J174" s="25"/>
      <c r="K174" s="25"/>
      <c r="L174" s="25"/>
      <c r="M174" s="25"/>
      <c r="N174" s="25"/>
      <c r="O174" s="85" t="s">
        <v>111</v>
      </c>
      <c r="P174" s="84" t="s">
        <v>112</v>
      </c>
      <c r="Q174" s="25"/>
      <c r="R174" s="25"/>
      <c r="S174" s="86"/>
      <c r="T174" s="87"/>
      <c r="U174" s="84" t="s">
        <v>113</v>
      </c>
      <c r="V174" s="84" t="s">
        <v>114</v>
      </c>
      <c r="W174" s="86"/>
      <c r="X174" s="87"/>
      <c r="Y174" s="25"/>
      <c r="Z174" s="25"/>
      <c r="AA174" s="25"/>
      <c r="AB174" s="25"/>
      <c r="AC174" s="25"/>
      <c r="AD174" s="25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</row>
    <row r="175" ht="35.25" customHeight="1">
      <c r="A175" s="90">
        <v>1.0</v>
      </c>
      <c r="B175" s="93">
        <f t="shared" ref="B175:B179" si="58">$F$172</f>
        <v>46293</v>
      </c>
      <c r="C175" s="94" t="s">
        <v>115</v>
      </c>
      <c r="D175" s="95"/>
      <c r="E175" s="95"/>
      <c r="F175" s="97">
        <v>777.0</v>
      </c>
      <c r="G175" s="95"/>
      <c r="H175" s="95"/>
      <c r="I175" s="97">
        <v>635.0</v>
      </c>
      <c r="J175" s="95"/>
      <c r="K175" s="95"/>
      <c r="L175" s="97">
        <v>1.9731838E7</v>
      </c>
      <c r="M175" s="95"/>
      <c r="N175" s="95"/>
      <c r="O175" s="95"/>
      <c r="P175" s="95"/>
      <c r="Q175" s="95"/>
      <c r="R175" s="95"/>
      <c r="S175" s="97"/>
      <c r="T175" s="97">
        <v>514.0</v>
      </c>
      <c r="U175" s="95"/>
      <c r="V175" s="95"/>
      <c r="W175" s="97">
        <v>0.0</v>
      </c>
      <c r="X175" s="95"/>
      <c r="Y175" s="100">
        <f t="shared" ref="Y175:Y179" si="59">Y166+W175</f>
        <v>7520000</v>
      </c>
      <c r="Z175" s="97">
        <v>5.5093843E7</v>
      </c>
      <c r="AA175" s="97">
        <v>2833149.0</v>
      </c>
      <c r="AB175" s="97">
        <v>97.0</v>
      </c>
      <c r="AC175" s="97">
        <v>342.0</v>
      </c>
      <c r="AD175" s="101">
        <v>3230019.0</v>
      </c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</row>
    <row r="176" ht="35.25" customHeight="1">
      <c r="A176" s="90">
        <v>2.0</v>
      </c>
      <c r="B176" s="93">
        <f t="shared" si="58"/>
        <v>46293</v>
      </c>
      <c r="C176" s="94" t="s">
        <v>119</v>
      </c>
      <c r="D176" s="95"/>
      <c r="E176" s="95"/>
      <c r="F176" s="97">
        <v>910.0</v>
      </c>
      <c r="G176" s="95"/>
      <c r="H176" s="95"/>
      <c r="I176" s="97">
        <v>746.0</v>
      </c>
      <c r="J176" s="95"/>
      <c r="K176" s="95"/>
      <c r="L176" s="97">
        <v>1.6407489E7</v>
      </c>
      <c r="M176" s="95"/>
      <c r="N176" s="95"/>
      <c r="O176" s="95"/>
      <c r="P176" s="95"/>
      <c r="Q176" s="95"/>
      <c r="R176" s="95"/>
      <c r="S176" s="97"/>
      <c r="T176" s="97">
        <v>424.0</v>
      </c>
      <c r="U176" s="95"/>
      <c r="V176" s="95"/>
      <c r="W176" s="97">
        <v>50000.0</v>
      </c>
      <c r="X176" s="95"/>
      <c r="Y176" s="100">
        <f t="shared" si="59"/>
        <v>5753000</v>
      </c>
      <c r="Z176" s="97">
        <v>5.2562754E7</v>
      </c>
      <c r="AA176" s="97">
        <v>3140817.0</v>
      </c>
      <c r="AB176" s="97">
        <v>96.0</v>
      </c>
      <c r="AC176" s="97">
        <v>776.0</v>
      </c>
      <c r="AD176" s="101">
        <v>3051193.0</v>
      </c>
      <c r="AE176" s="102" t="s">
        <v>170</v>
      </c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</row>
    <row r="177" ht="35.25" customHeight="1">
      <c r="A177" s="90">
        <v>3.0</v>
      </c>
      <c r="B177" s="93">
        <f t="shared" si="58"/>
        <v>46293</v>
      </c>
      <c r="C177" s="94" t="s">
        <v>123</v>
      </c>
      <c r="D177" s="95"/>
      <c r="E177" s="95"/>
      <c r="F177" s="97">
        <v>913.0</v>
      </c>
      <c r="G177" s="95"/>
      <c r="H177" s="95"/>
      <c r="I177" s="97">
        <v>767.0</v>
      </c>
      <c r="J177" s="95"/>
      <c r="K177" s="95"/>
      <c r="L177" s="97">
        <v>2.3139576E7</v>
      </c>
      <c r="M177" s="95"/>
      <c r="N177" s="95"/>
      <c r="O177" s="95"/>
      <c r="P177" s="95"/>
      <c r="Q177" s="95"/>
      <c r="R177" s="95"/>
      <c r="S177" s="97"/>
      <c r="T177" s="97">
        <v>638.0</v>
      </c>
      <c r="U177" s="95"/>
      <c r="V177" s="95"/>
      <c r="W177" s="97">
        <v>60000.0</v>
      </c>
      <c r="X177" s="95"/>
      <c r="Y177" s="100">
        <f t="shared" si="59"/>
        <v>9286000</v>
      </c>
      <c r="Z177" s="97">
        <v>6.8860455E7</v>
      </c>
      <c r="AA177" s="106">
        <v>3135352.0</v>
      </c>
      <c r="AB177" s="97">
        <v>93.0</v>
      </c>
      <c r="AC177" s="97">
        <v>2900.0</v>
      </c>
      <c r="AD177" s="101">
        <v>4047368.0</v>
      </c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2"/>
    </row>
    <row r="178" ht="35.25" customHeight="1">
      <c r="A178" s="90">
        <v>4.0</v>
      </c>
      <c r="B178" s="93">
        <f t="shared" si="58"/>
        <v>46293</v>
      </c>
      <c r="C178" s="94" t="s">
        <v>128</v>
      </c>
      <c r="D178" s="95"/>
      <c r="E178" s="95"/>
      <c r="F178" s="97">
        <v>885.0</v>
      </c>
      <c r="G178" s="95"/>
      <c r="H178" s="95"/>
      <c r="I178" s="97">
        <v>693.0</v>
      </c>
      <c r="J178" s="95"/>
      <c r="K178" s="95"/>
      <c r="L178" s="108">
        <v>1.5836369E7</v>
      </c>
      <c r="M178" s="95"/>
      <c r="N178" s="95"/>
      <c r="O178" s="95"/>
      <c r="P178" s="95"/>
      <c r="Q178" s="95"/>
      <c r="R178" s="95"/>
      <c r="S178" s="97"/>
      <c r="T178" s="97">
        <v>512.0</v>
      </c>
      <c r="U178" s="95"/>
      <c r="V178" s="95"/>
      <c r="W178" s="97">
        <v>0.0</v>
      </c>
      <c r="X178" s="95"/>
      <c r="Y178" s="100">
        <f t="shared" si="59"/>
        <v>7590000</v>
      </c>
      <c r="Z178" s="109">
        <v>5.2762619E7</v>
      </c>
      <c r="AA178" s="109">
        <v>2984488.0</v>
      </c>
      <c r="AB178" s="97">
        <v>100.0</v>
      </c>
      <c r="AC178" s="97">
        <v>14913.0</v>
      </c>
      <c r="AD178" s="101">
        <v>2040794.0</v>
      </c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2"/>
    </row>
    <row r="179" ht="35.25" customHeight="1">
      <c r="A179" s="90">
        <v>6.0</v>
      </c>
      <c r="B179" s="93">
        <f t="shared" si="58"/>
        <v>46293</v>
      </c>
      <c r="C179" s="113" t="s">
        <v>105</v>
      </c>
      <c r="D179" s="95"/>
      <c r="E179" s="95"/>
      <c r="F179" s="97">
        <v>863.0</v>
      </c>
      <c r="G179" s="95"/>
      <c r="H179" s="95"/>
      <c r="I179" s="115">
        <v>700.0</v>
      </c>
      <c r="J179" s="117"/>
      <c r="K179" s="117"/>
      <c r="L179" s="109">
        <v>1.7598499E7</v>
      </c>
      <c r="M179" s="95"/>
      <c r="N179" s="95"/>
      <c r="O179" s="95"/>
      <c r="P179" s="95"/>
      <c r="Q179" s="95"/>
      <c r="R179" s="95"/>
      <c r="S179" s="97"/>
      <c r="T179" s="97">
        <v>491.0</v>
      </c>
      <c r="U179" s="95"/>
      <c r="V179" s="95"/>
      <c r="W179" s="97">
        <v>0.0</v>
      </c>
      <c r="X179" s="95"/>
      <c r="Y179" s="100">
        <f t="shared" si="59"/>
        <v>7015000</v>
      </c>
      <c r="Z179" s="109">
        <v>6.1450252E7</v>
      </c>
      <c r="AA179" s="109">
        <v>3237365.0</v>
      </c>
      <c r="AB179" s="97">
        <v>93.0</v>
      </c>
      <c r="AC179" s="97">
        <v>217.0</v>
      </c>
      <c r="AD179" s="101">
        <v>2457030.0</v>
      </c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2"/>
    </row>
    <row r="180" ht="20.25" customHeight="1">
      <c r="A180" s="120" t="s">
        <v>96</v>
      </c>
      <c r="B180" s="14"/>
      <c r="C180" s="15"/>
      <c r="D180" s="121">
        <f t="shared" ref="D180:AD180" si="60">SUM(D175:D179)</f>
        <v>0</v>
      </c>
      <c r="E180" s="245">
        <f t="shared" si="60"/>
        <v>0</v>
      </c>
      <c r="F180" s="121">
        <f t="shared" si="60"/>
        <v>4348</v>
      </c>
      <c r="G180" s="121">
        <f t="shared" si="60"/>
        <v>0</v>
      </c>
      <c r="H180" s="121">
        <f t="shared" si="60"/>
        <v>0</v>
      </c>
      <c r="I180" s="121">
        <f t="shared" si="60"/>
        <v>3541</v>
      </c>
      <c r="J180" s="121">
        <f t="shared" si="60"/>
        <v>0</v>
      </c>
      <c r="K180" s="121">
        <f t="shared" si="60"/>
        <v>0</v>
      </c>
      <c r="L180" s="121">
        <f t="shared" si="60"/>
        <v>92713771</v>
      </c>
      <c r="M180" s="121">
        <f t="shared" si="60"/>
        <v>0</v>
      </c>
      <c r="N180" s="121">
        <f t="shared" si="60"/>
        <v>0</v>
      </c>
      <c r="O180" s="121">
        <f t="shared" si="60"/>
        <v>0</v>
      </c>
      <c r="P180" s="121">
        <f t="shared" si="60"/>
        <v>0</v>
      </c>
      <c r="Q180" s="121">
        <f t="shared" si="60"/>
        <v>0</v>
      </c>
      <c r="R180" s="121">
        <f t="shared" si="60"/>
        <v>0</v>
      </c>
      <c r="S180" s="121">
        <f t="shared" si="60"/>
        <v>0</v>
      </c>
      <c r="T180" s="121">
        <f t="shared" si="60"/>
        <v>2579</v>
      </c>
      <c r="U180" s="121">
        <f t="shared" si="60"/>
        <v>0</v>
      </c>
      <c r="V180" s="121">
        <f t="shared" si="60"/>
        <v>0</v>
      </c>
      <c r="W180" s="121">
        <f t="shared" si="60"/>
        <v>110000</v>
      </c>
      <c r="X180" s="121">
        <f t="shared" si="60"/>
        <v>0</v>
      </c>
      <c r="Y180" s="121">
        <f t="shared" si="60"/>
        <v>37164000</v>
      </c>
      <c r="Z180" s="121">
        <f t="shared" si="60"/>
        <v>290729923</v>
      </c>
      <c r="AA180" s="121">
        <f t="shared" si="60"/>
        <v>15331171</v>
      </c>
      <c r="AB180" s="121">
        <f t="shared" si="60"/>
        <v>479</v>
      </c>
      <c r="AC180" s="121">
        <f t="shared" si="60"/>
        <v>19148</v>
      </c>
      <c r="AD180" s="121">
        <f t="shared" si="60"/>
        <v>14826404</v>
      </c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2"/>
    </row>
    <row r="181" ht="19.5" customHeight="1">
      <c r="A181" s="38"/>
      <c r="B181" s="38"/>
      <c r="C181" s="38" t="s">
        <v>50</v>
      </c>
      <c r="F181" s="133">
        <f>F172+1</f>
        <v>46294</v>
      </c>
      <c r="G181" s="23"/>
      <c r="H181" s="23"/>
      <c r="I181" s="23"/>
      <c r="K181" s="50">
        <f>F181</f>
        <v>46294</v>
      </c>
      <c r="L181" s="23"/>
      <c r="M181" s="23"/>
      <c r="N181" s="23"/>
      <c r="O181" s="23"/>
      <c r="P181" s="23"/>
      <c r="Q181" s="23"/>
      <c r="R181" s="23"/>
      <c r="S181" s="23"/>
      <c r="T181" s="23"/>
      <c r="W181" s="54"/>
      <c r="X181" s="54"/>
      <c r="Y181" s="54"/>
      <c r="Z181" s="54"/>
      <c r="AA181" s="56"/>
      <c r="AB181" s="54"/>
      <c r="AC181" s="54"/>
      <c r="AD181" s="54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</row>
    <row r="182" ht="15.75" customHeight="1">
      <c r="A182" s="60" t="s">
        <v>74</v>
      </c>
      <c r="B182" s="63" t="s">
        <v>78</v>
      </c>
      <c r="C182" s="65" t="s">
        <v>53</v>
      </c>
      <c r="D182" s="66" t="s">
        <v>58</v>
      </c>
      <c r="E182" s="15"/>
      <c r="F182" s="68" t="s">
        <v>81</v>
      </c>
      <c r="G182" s="70" t="s">
        <v>82</v>
      </c>
      <c r="H182" s="15"/>
      <c r="I182" s="68" t="s">
        <v>84</v>
      </c>
      <c r="J182" s="68" t="s">
        <v>85</v>
      </c>
      <c r="K182" s="68" t="s">
        <v>86</v>
      </c>
      <c r="L182" s="68" t="s">
        <v>66</v>
      </c>
      <c r="M182" s="68" t="s">
        <v>88</v>
      </c>
      <c r="N182" s="68" t="s">
        <v>89</v>
      </c>
      <c r="O182" s="72" t="s">
        <v>90</v>
      </c>
      <c r="P182" s="15"/>
      <c r="Q182" s="68" t="s">
        <v>92</v>
      </c>
      <c r="R182" s="68" t="s">
        <v>93</v>
      </c>
      <c r="S182" s="76" t="s">
        <v>147</v>
      </c>
      <c r="T182" s="77"/>
      <c r="U182" s="70" t="s">
        <v>95</v>
      </c>
      <c r="V182" s="15"/>
      <c r="W182" s="76" t="s">
        <v>97</v>
      </c>
      <c r="X182" s="77"/>
      <c r="Y182" s="68" t="s">
        <v>102</v>
      </c>
      <c r="Z182" s="68" t="s">
        <v>103</v>
      </c>
      <c r="AA182" s="68" t="s">
        <v>104</v>
      </c>
      <c r="AB182" s="68" t="s">
        <v>106</v>
      </c>
      <c r="AC182" s="68" t="s">
        <v>107</v>
      </c>
      <c r="AD182" s="81" t="s">
        <v>108</v>
      </c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</row>
    <row r="183" ht="23.25" customHeight="1">
      <c r="A183" s="25"/>
      <c r="B183" s="25"/>
      <c r="C183" s="25"/>
      <c r="D183" s="84" t="s">
        <v>109</v>
      </c>
      <c r="E183" s="84" t="s">
        <v>110</v>
      </c>
      <c r="F183" s="25"/>
      <c r="G183" s="84" t="s">
        <v>109</v>
      </c>
      <c r="H183" s="84" t="s">
        <v>110</v>
      </c>
      <c r="I183" s="25"/>
      <c r="J183" s="25"/>
      <c r="K183" s="25"/>
      <c r="L183" s="25"/>
      <c r="M183" s="25"/>
      <c r="N183" s="25"/>
      <c r="O183" s="85" t="s">
        <v>111</v>
      </c>
      <c r="P183" s="84" t="s">
        <v>112</v>
      </c>
      <c r="Q183" s="25"/>
      <c r="R183" s="25"/>
      <c r="S183" s="86"/>
      <c r="T183" s="87"/>
      <c r="U183" s="84" t="s">
        <v>113</v>
      </c>
      <c r="V183" s="84" t="s">
        <v>114</v>
      </c>
      <c r="W183" s="86"/>
      <c r="X183" s="87"/>
      <c r="Y183" s="25"/>
      <c r="Z183" s="25"/>
      <c r="AA183" s="25"/>
      <c r="AB183" s="25"/>
      <c r="AC183" s="25"/>
      <c r="AD183" s="25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</row>
    <row r="184" ht="35.25" customHeight="1">
      <c r="A184" s="90">
        <v>1.0</v>
      </c>
      <c r="B184" s="93">
        <f t="shared" ref="B184:B188" si="61">$F$181</f>
        <v>46294</v>
      </c>
      <c r="C184" s="94" t="s">
        <v>115</v>
      </c>
      <c r="D184" s="95"/>
      <c r="E184" s="95"/>
      <c r="F184" s="97"/>
      <c r="G184" s="95"/>
      <c r="H184" s="95"/>
      <c r="I184" s="97"/>
      <c r="J184" s="95"/>
      <c r="K184" s="95"/>
      <c r="L184" s="97"/>
      <c r="M184" s="95"/>
      <c r="N184" s="95"/>
      <c r="O184" s="95"/>
      <c r="P184" s="95"/>
      <c r="Q184" s="95"/>
      <c r="R184" s="95"/>
      <c r="S184" s="97"/>
      <c r="T184" s="97"/>
      <c r="U184" s="95"/>
      <c r="V184" s="95"/>
      <c r="W184" s="97"/>
      <c r="X184" s="95"/>
      <c r="Y184" s="100">
        <f t="shared" ref="Y184:Y188" si="62">Y175+W184</f>
        <v>7520000</v>
      </c>
      <c r="Z184" s="97"/>
      <c r="AA184" s="97"/>
      <c r="AB184" s="97"/>
      <c r="AC184" s="97"/>
      <c r="AD184" s="101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</row>
    <row r="185" ht="35.25" customHeight="1">
      <c r="A185" s="90">
        <v>2.0</v>
      </c>
      <c r="B185" s="93">
        <f t="shared" si="61"/>
        <v>46294</v>
      </c>
      <c r="C185" s="94" t="s">
        <v>119</v>
      </c>
      <c r="D185" s="95"/>
      <c r="E185" s="95"/>
      <c r="F185" s="97"/>
      <c r="G185" s="95"/>
      <c r="H185" s="95"/>
      <c r="I185" s="97"/>
      <c r="J185" s="95"/>
      <c r="K185" s="95"/>
      <c r="L185" s="97"/>
      <c r="M185" s="95"/>
      <c r="N185" s="95"/>
      <c r="O185" s="95"/>
      <c r="P185" s="95"/>
      <c r="Q185" s="95"/>
      <c r="R185" s="95"/>
      <c r="S185" s="97"/>
      <c r="T185" s="97"/>
      <c r="U185" s="95"/>
      <c r="V185" s="95"/>
      <c r="W185" s="97"/>
      <c r="X185" s="95"/>
      <c r="Y185" s="100">
        <f t="shared" si="62"/>
        <v>5753000</v>
      </c>
      <c r="Z185" s="97"/>
      <c r="AA185" s="97"/>
      <c r="AB185" s="97"/>
      <c r="AC185" s="97"/>
      <c r="AD185" s="101"/>
      <c r="AE185" s="102" t="s">
        <v>170</v>
      </c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2"/>
    </row>
    <row r="186" ht="35.25" customHeight="1">
      <c r="A186" s="90">
        <v>3.0</v>
      </c>
      <c r="B186" s="93">
        <f t="shared" si="61"/>
        <v>46294</v>
      </c>
      <c r="C186" s="94" t="s">
        <v>123</v>
      </c>
      <c r="D186" s="95"/>
      <c r="E186" s="95"/>
      <c r="F186" s="97"/>
      <c r="G186" s="95"/>
      <c r="H186" s="95"/>
      <c r="I186" s="97"/>
      <c r="J186" s="95"/>
      <c r="K186" s="95"/>
      <c r="L186" s="97"/>
      <c r="M186" s="95"/>
      <c r="N186" s="95"/>
      <c r="O186" s="95"/>
      <c r="P186" s="95"/>
      <c r="Q186" s="95"/>
      <c r="R186" s="95"/>
      <c r="S186" s="97"/>
      <c r="T186" s="97"/>
      <c r="U186" s="95"/>
      <c r="V186" s="95"/>
      <c r="W186" s="97"/>
      <c r="X186" s="95"/>
      <c r="Y186" s="100">
        <f t="shared" si="62"/>
        <v>9286000</v>
      </c>
      <c r="Z186" s="97"/>
      <c r="AA186" s="106"/>
      <c r="AB186" s="97"/>
      <c r="AC186" s="97"/>
      <c r="AD186" s="101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</row>
    <row r="187" ht="35.25" customHeight="1">
      <c r="A187" s="90">
        <v>4.0</v>
      </c>
      <c r="B187" s="93">
        <f t="shared" si="61"/>
        <v>46294</v>
      </c>
      <c r="C187" s="94" t="s">
        <v>128</v>
      </c>
      <c r="D187" s="95"/>
      <c r="E187" s="95"/>
      <c r="F187" s="97"/>
      <c r="G187" s="95"/>
      <c r="H187" s="95"/>
      <c r="I187" s="97"/>
      <c r="J187" s="95"/>
      <c r="K187" s="95"/>
      <c r="L187" s="108"/>
      <c r="M187" s="95"/>
      <c r="N187" s="95"/>
      <c r="O187" s="95"/>
      <c r="P187" s="95"/>
      <c r="Q187" s="95"/>
      <c r="R187" s="95"/>
      <c r="S187" s="97"/>
      <c r="T187" s="97"/>
      <c r="U187" s="95"/>
      <c r="V187" s="95"/>
      <c r="W187" s="97"/>
      <c r="X187" s="95"/>
      <c r="Y187" s="100">
        <f t="shared" si="62"/>
        <v>7590000</v>
      </c>
      <c r="Z187" s="109"/>
      <c r="AA187" s="109"/>
      <c r="AB187" s="97"/>
      <c r="AC187" s="97"/>
      <c r="AD187" s="101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</row>
    <row r="188" ht="35.25" customHeight="1">
      <c r="A188" s="90">
        <v>6.0</v>
      </c>
      <c r="B188" s="93">
        <f t="shared" si="61"/>
        <v>46294</v>
      </c>
      <c r="C188" s="113" t="s">
        <v>105</v>
      </c>
      <c r="D188" s="95"/>
      <c r="E188" s="95"/>
      <c r="F188" s="97"/>
      <c r="G188" s="95"/>
      <c r="H188" s="95"/>
      <c r="I188" s="115"/>
      <c r="J188" s="117"/>
      <c r="K188" s="117"/>
      <c r="L188" s="109"/>
      <c r="M188" s="95"/>
      <c r="N188" s="95"/>
      <c r="O188" s="95"/>
      <c r="P188" s="95"/>
      <c r="Q188" s="95"/>
      <c r="R188" s="95"/>
      <c r="S188" s="97"/>
      <c r="T188" s="97"/>
      <c r="U188" s="95"/>
      <c r="V188" s="95"/>
      <c r="W188" s="97"/>
      <c r="X188" s="95"/>
      <c r="Y188" s="100">
        <f t="shared" si="62"/>
        <v>7015000</v>
      </c>
      <c r="Z188" s="109"/>
      <c r="AA188" s="109"/>
      <c r="AB188" s="97"/>
      <c r="AC188" s="97"/>
      <c r="AD188" s="101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  <c r="AX188" s="102"/>
      <c r="AY188" s="102"/>
      <c r="AZ188" s="102"/>
      <c r="BA188" s="102"/>
    </row>
    <row r="189" ht="20.25" customHeight="1">
      <c r="A189" s="120" t="s">
        <v>96</v>
      </c>
      <c r="B189" s="14"/>
      <c r="C189" s="15"/>
      <c r="D189" s="121">
        <f t="shared" ref="D189:AD189" si="63">SUM(D184:D188)</f>
        <v>0</v>
      </c>
      <c r="E189" s="245">
        <f t="shared" si="63"/>
        <v>0</v>
      </c>
      <c r="F189" s="121">
        <f t="shared" si="63"/>
        <v>0</v>
      </c>
      <c r="G189" s="121">
        <f t="shared" si="63"/>
        <v>0</v>
      </c>
      <c r="H189" s="121">
        <f t="shared" si="63"/>
        <v>0</v>
      </c>
      <c r="I189" s="121">
        <f t="shared" si="63"/>
        <v>0</v>
      </c>
      <c r="J189" s="121">
        <f t="shared" si="63"/>
        <v>0</v>
      </c>
      <c r="K189" s="121">
        <f t="shared" si="63"/>
        <v>0</v>
      </c>
      <c r="L189" s="121">
        <f t="shared" si="63"/>
        <v>0</v>
      </c>
      <c r="M189" s="121">
        <f t="shared" si="63"/>
        <v>0</v>
      </c>
      <c r="N189" s="121">
        <f t="shared" si="63"/>
        <v>0</v>
      </c>
      <c r="O189" s="121">
        <f t="shared" si="63"/>
        <v>0</v>
      </c>
      <c r="P189" s="121">
        <f t="shared" si="63"/>
        <v>0</v>
      </c>
      <c r="Q189" s="121">
        <f t="shared" si="63"/>
        <v>0</v>
      </c>
      <c r="R189" s="121">
        <f t="shared" si="63"/>
        <v>0</v>
      </c>
      <c r="S189" s="121">
        <f t="shared" si="63"/>
        <v>0</v>
      </c>
      <c r="T189" s="121">
        <f t="shared" si="63"/>
        <v>0</v>
      </c>
      <c r="U189" s="121">
        <f t="shared" si="63"/>
        <v>0</v>
      </c>
      <c r="V189" s="121">
        <f t="shared" si="63"/>
        <v>0</v>
      </c>
      <c r="W189" s="121">
        <f t="shared" si="63"/>
        <v>0</v>
      </c>
      <c r="X189" s="121">
        <f t="shared" si="63"/>
        <v>0</v>
      </c>
      <c r="Y189" s="121">
        <f t="shared" si="63"/>
        <v>37164000</v>
      </c>
      <c r="Z189" s="121">
        <f t="shared" si="63"/>
        <v>0</v>
      </c>
      <c r="AA189" s="121">
        <f t="shared" si="63"/>
        <v>0</v>
      </c>
      <c r="AB189" s="121">
        <f t="shared" si="63"/>
        <v>0</v>
      </c>
      <c r="AC189" s="121">
        <f t="shared" si="63"/>
        <v>0</v>
      </c>
      <c r="AD189" s="121">
        <f t="shared" si="63"/>
        <v>0</v>
      </c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</row>
    <row r="190" ht="18.0" customHeight="1">
      <c r="A190" s="248"/>
      <c r="B190" s="249"/>
      <c r="C190" s="250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2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  <c r="AZ190" s="251"/>
      <c r="BA190" s="251"/>
    </row>
    <row r="191" ht="18.0" customHeight="1">
      <c r="A191" s="248"/>
      <c r="B191" s="249"/>
      <c r="C191" s="250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2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  <c r="AZ191" s="251"/>
      <c r="BA191" s="251"/>
    </row>
    <row r="192" ht="18.0" customHeight="1">
      <c r="A192" s="248"/>
      <c r="B192" s="249"/>
      <c r="C192" s="250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2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  <c r="AZ192" s="251"/>
      <c r="BA192" s="251"/>
    </row>
    <row r="193" ht="18.0" customHeight="1">
      <c r="A193" s="248"/>
      <c r="B193" s="249"/>
      <c r="C193" s="250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2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  <c r="AZ193" s="251"/>
      <c r="BA193" s="251"/>
    </row>
    <row r="194" ht="18.0" customHeight="1">
      <c r="A194" s="248"/>
      <c r="B194" s="249"/>
      <c r="C194" s="250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2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  <c r="AZ194" s="251"/>
      <c r="BA194" s="251"/>
    </row>
    <row r="195" ht="18.0" customHeight="1">
      <c r="A195" s="248"/>
      <c r="B195" s="249"/>
      <c r="C195" s="250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2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  <c r="AZ195" s="251"/>
      <c r="BA195" s="251"/>
    </row>
    <row r="196" ht="18.0" customHeight="1">
      <c r="A196" s="248"/>
      <c r="B196" s="249"/>
      <c r="C196" s="250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2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  <c r="AZ196" s="251"/>
      <c r="BA196" s="251"/>
    </row>
    <row r="197" ht="18.0" customHeight="1">
      <c r="A197" s="248"/>
      <c r="B197" s="249"/>
      <c r="C197" s="250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2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  <c r="AZ197" s="251"/>
      <c r="BA197" s="251"/>
    </row>
    <row r="198" ht="18.0" customHeight="1">
      <c r="A198" s="248"/>
      <c r="B198" s="249"/>
      <c r="C198" s="250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2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  <c r="AZ198" s="251"/>
      <c r="BA198" s="251"/>
    </row>
    <row r="199" ht="18.0" customHeight="1">
      <c r="A199" s="248"/>
      <c r="B199" s="249"/>
      <c r="C199" s="250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2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  <c r="AZ199" s="251"/>
      <c r="BA199" s="251"/>
    </row>
    <row r="200" ht="18.0" customHeight="1">
      <c r="A200" s="248"/>
      <c r="B200" s="249"/>
      <c r="C200" s="250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2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  <c r="AZ200" s="251"/>
      <c r="BA200" s="251"/>
    </row>
    <row r="201" ht="18.0" customHeight="1">
      <c r="A201" s="248"/>
      <c r="B201" s="249"/>
      <c r="C201" s="250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2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  <c r="AZ201" s="251"/>
      <c r="BA201" s="251"/>
    </row>
    <row r="202" ht="18.0" customHeight="1">
      <c r="A202" s="248"/>
      <c r="B202" s="249"/>
      <c r="C202" s="250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2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  <c r="AZ202" s="251"/>
      <c r="BA202" s="251"/>
    </row>
    <row r="203" ht="18.0" customHeight="1">
      <c r="A203" s="248"/>
      <c r="B203" s="249"/>
      <c r="C203" s="250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2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  <c r="AZ203" s="251"/>
      <c r="BA203" s="251"/>
    </row>
    <row r="204" ht="18.0" customHeight="1">
      <c r="A204" s="248"/>
      <c r="B204" s="249"/>
      <c r="C204" s="250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2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  <c r="AZ204" s="251"/>
      <c r="BA204" s="251"/>
    </row>
    <row r="205" ht="18.0" customHeight="1">
      <c r="A205" s="248"/>
      <c r="B205" s="249"/>
      <c r="C205" s="250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2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251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  <c r="AZ205" s="251"/>
      <c r="BA205" s="251"/>
    </row>
    <row r="206" ht="18.0" customHeight="1">
      <c r="A206" s="248"/>
      <c r="B206" s="249"/>
      <c r="C206" s="250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2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  <c r="AZ206" s="251"/>
      <c r="BA206" s="251"/>
    </row>
    <row r="207" ht="18.0" customHeight="1">
      <c r="A207" s="248"/>
      <c r="B207" s="249"/>
      <c r="C207" s="250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2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  <c r="AZ207" s="251"/>
      <c r="BA207" s="251"/>
    </row>
    <row r="208" ht="18.0" customHeight="1">
      <c r="A208" s="248"/>
      <c r="B208" s="249"/>
      <c r="C208" s="250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2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  <c r="AZ208" s="251"/>
      <c r="BA208" s="251"/>
    </row>
    <row r="209" ht="18.0" customHeight="1">
      <c r="A209" s="248"/>
      <c r="B209" s="249"/>
      <c r="C209" s="250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2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  <c r="AZ209" s="251"/>
      <c r="BA209" s="251"/>
    </row>
    <row r="210" ht="18.0" customHeight="1">
      <c r="A210" s="248"/>
      <c r="B210" s="249"/>
      <c r="C210" s="250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2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  <c r="AZ210" s="251"/>
      <c r="BA210" s="251"/>
    </row>
    <row r="211" ht="18.0" customHeight="1">
      <c r="A211" s="248"/>
      <c r="B211" s="249"/>
      <c r="C211" s="250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2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  <c r="AZ211" s="251"/>
      <c r="BA211" s="251"/>
    </row>
    <row r="212" ht="18.0" customHeight="1">
      <c r="A212" s="248"/>
      <c r="B212" s="249"/>
      <c r="C212" s="250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2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  <c r="AZ212" s="251"/>
      <c r="BA212" s="251"/>
    </row>
    <row r="213" ht="18.0" customHeight="1">
      <c r="A213" s="248"/>
      <c r="B213" s="249"/>
      <c r="C213" s="250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2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  <c r="AZ213" s="251"/>
      <c r="BA213" s="251"/>
    </row>
    <row r="214" ht="18.0" customHeight="1">
      <c r="A214" s="248"/>
      <c r="B214" s="249"/>
      <c r="C214" s="250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2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  <c r="AZ214" s="251"/>
      <c r="BA214" s="251"/>
    </row>
    <row r="215" ht="18.0" customHeight="1">
      <c r="A215" s="248"/>
      <c r="B215" s="249"/>
      <c r="C215" s="250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2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  <c r="AZ215" s="251"/>
      <c r="BA215" s="251"/>
    </row>
    <row r="216" ht="18.0" customHeight="1">
      <c r="A216" s="248"/>
      <c r="B216" s="249"/>
      <c r="C216" s="250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2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  <c r="AZ216" s="251"/>
      <c r="BA216" s="251"/>
    </row>
    <row r="217" ht="18.0" customHeight="1">
      <c r="A217" s="248"/>
      <c r="B217" s="249"/>
      <c r="C217" s="250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2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  <c r="AZ217" s="251"/>
      <c r="BA217" s="251"/>
    </row>
    <row r="218" ht="18.0" customHeight="1">
      <c r="A218" s="248"/>
      <c r="B218" s="249"/>
      <c r="C218" s="250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2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  <c r="AZ218" s="251"/>
      <c r="BA218" s="251"/>
    </row>
    <row r="219" ht="18.0" customHeight="1">
      <c r="A219" s="248"/>
      <c r="B219" s="249"/>
      <c r="C219" s="250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2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  <c r="AZ219" s="251"/>
      <c r="BA219" s="251"/>
    </row>
    <row r="220" ht="18.0" customHeight="1">
      <c r="A220" s="248"/>
      <c r="B220" s="249"/>
      <c r="C220" s="250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2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  <c r="AZ220" s="251"/>
      <c r="BA220" s="251"/>
    </row>
    <row r="221" ht="18.0" customHeight="1">
      <c r="A221" s="248"/>
      <c r="B221" s="249"/>
      <c r="C221" s="250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2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  <c r="AZ221" s="251"/>
      <c r="BA221" s="251"/>
    </row>
    <row r="222" ht="18.0" customHeight="1">
      <c r="A222" s="248"/>
      <c r="B222" s="249"/>
      <c r="C222" s="250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2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  <c r="AZ222" s="251"/>
      <c r="BA222" s="251"/>
    </row>
    <row r="223" ht="18.0" customHeight="1">
      <c r="A223" s="248"/>
      <c r="B223" s="249"/>
      <c r="C223" s="250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2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  <c r="AZ223" s="251"/>
      <c r="BA223" s="251"/>
    </row>
    <row r="224" ht="18.0" customHeight="1">
      <c r="A224" s="248"/>
      <c r="B224" s="249"/>
      <c r="C224" s="250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2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  <c r="AZ224" s="251"/>
      <c r="BA224" s="251"/>
    </row>
    <row r="225" ht="18.0" customHeight="1">
      <c r="A225" s="248"/>
      <c r="B225" s="249"/>
      <c r="C225" s="250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2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  <c r="AZ225" s="251"/>
      <c r="BA225" s="251"/>
    </row>
    <row r="226" ht="18.0" customHeight="1">
      <c r="A226" s="248"/>
      <c r="B226" s="249"/>
      <c r="C226" s="250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2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  <c r="AZ226" s="251"/>
      <c r="BA226" s="251"/>
    </row>
    <row r="227" ht="18.0" customHeight="1">
      <c r="A227" s="248"/>
      <c r="B227" s="249"/>
      <c r="C227" s="250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2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  <c r="AZ227" s="251"/>
      <c r="BA227" s="251"/>
    </row>
    <row r="228" ht="18.0" customHeight="1">
      <c r="A228" s="248"/>
      <c r="B228" s="249"/>
      <c r="C228" s="250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2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  <c r="AZ228" s="251"/>
      <c r="BA228" s="251"/>
    </row>
    <row r="229" ht="18.0" customHeight="1">
      <c r="A229" s="248"/>
      <c r="B229" s="249"/>
      <c r="C229" s="250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2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  <c r="AZ229" s="251"/>
      <c r="BA229" s="251"/>
    </row>
    <row r="230" ht="18.0" customHeight="1">
      <c r="A230" s="248"/>
      <c r="B230" s="249"/>
      <c r="C230" s="250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2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  <c r="AZ230" s="251"/>
      <c r="BA230" s="251"/>
    </row>
    <row r="231" ht="18.0" customHeight="1">
      <c r="A231" s="248"/>
      <c r="B231" s="249"/>
      <c r="C231" s="250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2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  <c r="AZ231" s="251"/>
      <c r="BA231" s="251"/>
    </row>
    <row r="232" ht="18.0" customHeight="1">
      <c r="A232" s="248"/>
      <c r="B232" s="249"/>
      <c r="C232" s="250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2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  <c r="AZ232" s="251"/>
      <c r="BA232" s="251"/>
    </row>
    <row r="233" ht="18.0" customHeight="1">
      <c r="A233" s="248"/>
      <c r="B233" s="249"/>
      <c r="C233" s="250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2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  <c r="AZ233" s="251"/>
      <c r="BA233" s="251"/>
    </row>
    <row r="234" ht="18.0" customHeight="1">
      <c r="A234" s="248"/>
      <c r="B234" s="249"/>
      <c r="C234" s="250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2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  <c r="AZ234" s="251"/>
      <c r="BA234" s="251"/>
    </row>
    <row r="235" ht="18.0" customHeight="1">
      <c r="A235" s="248"/>
      <c r="B235" s="249"/>
      <c r="C235" s="250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2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  <c r="AZ235" s="251"/>
      <c r="BA235" s="251"/>
    </row>
    <row r="236" ht="18.0" customHeight="1">
      <c r="A236" s="248"/>
      <c r="B236" s="249"/>
      <c r="C236" s="250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2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  <c r="AZ236" s="251"/>
      <c r="BA236" s="251"/>
    </row>
    <row r="237" ht="18.0" customHeight="1">
      <c r="A237" s="248"/>
      <c r="B237" s="249"/>
      <c r="C237" s="250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2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  <c r="AZ237" s="251"/>
      <c r="BA237" s="251"/>
    </row>
    <row r="238" ht="18.0" customHeight="1">
      <c r="A238" s="248"/>
      <c r="B238" s="249"/>
      <c r="C238" s="250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2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  <c r="AZ238" s="251"/>
      <c r="BA238" s="251"/>
    </row>
    <row r="239" ht="18.0" customHeight="1">
      <c r="A239" s="248"/>
      <c r="B239" s="249"/>
      <c r="C239" s="250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2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  <c r="AZ239" s="251"/>
      <c r="BA239" s="251"/>
    </row>
    <row r="240" ht="18.0" customHeight="1">
      <c r="A240" s="248"/>
      <c r="B240" s="249"/>
      <c r="C240" s="250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2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  <c r="AZ240" s="251"/>
      <c r="BA240" s="251"/>
    </row>
    <row r="241" ht="18.0" customHeight="1">
      <c r="A241" s="248"/>
      <c r="B241" s="249"/>
      <c r="C241" s="250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2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  <c r="AZ241" s="251"/>
      <c r="BA241" s="251"/>
    </row>
    <row r="242" ht="18.0" customHeight="1">
      <c r="A242" s="248"/>
      <c r="B242" s="249"/>
      <c r="C242" s="250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2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  <c r="AZ242" s="251"/>
      <c r="BA242" s="251"/>
    </row>
    <row r="243" ht="18.0" customHeight="1">
      <c r="A243" s="248"/>
      <c r="B243" s="249"/>
      <c r="C243" s="250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2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  <c r="AZ243" s="251"/>
      <c r="BA243" s="251"/>
    </row>
    <row r="244" ht="18.0" customHeight="1">
      <c r="A244" s="248"/>
      <c r="B244" s="249"/>
      <c r="C244" s="250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2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  <c r="AZ244" s="251"/>
      <c r="BA244" s="251"/>
    </row>
    <row r="245" ht="18.0" customHeight="1">
      <c r="A245" s="248"/>
      <c r="B245" s="249"/>
      <c r="C245" s="250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2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  <c r="AZ245" s="251"/>
      <c r="BA245" s="251"/>
    </row>
    <row r="246" ht="18.0" customHeight="1">
      <c r="A246" s="248"/>
      <c r="B246" s="249"/>
      <c r="C246" s="250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2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  <c r="AZ246" s="251"/>
      <c r="BA246" s="251"/>
    </row>
    <row r="247" ht="18.0" customHeight="1">
      <c r="A247" s="248"/>
      <c r="B247" s="249"/>
      <c r="C247" s="250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2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  <c r="AZ247" s="251"/>
      <c r="BA247" s="251"/>
    </row>
    <row r="248" ht="18.0" customHeight="1">
      <c r="A248" s="248"/>
      <c r="B248" s="249"/>
      <c r="C248" s="250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2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  <c r="AZ248" s="251"/>
      <c r="BA248" s="251"/>
    </row>
    <row r="249" ht="18.0" customHeight="1">
      <c r="A249" s="248"/>
      <c r="B249" s="249"/>
      <c r="C249" s="250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2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  <c r="AZ249" s="251"/>
      <c r="BA249" s="251"/>
    </row>
    <row r="250" ht="18.0" customHeight="1">
      <c r="A250" s="248"/>
      <c r="B250" s="249"/>
      <c r="C250" s="250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2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  <c r="AZ250" s="251"/>
      <c r="BA250" s="251"/>
    </row>
    <row r="251" ht="18.0" customHeight="1">
      <c r="A251" s="248"/>
      <c r="B251" s="249"/>
      <c r="C251" s="250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2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  <c r="AZ251" s="251"/>
      <c r="BA251" s="251"/>
    </row>
    <row r="252" ht="18.0" customHeight="1">
      <c r="A252" s="248"/>
      <c r="B252" s="249"/>
      <c r="C252" s="250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2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  <c r="AZ252" s="251"/>
      <c r="BA252" s="251"/>
    </row>
    <row r="253" ht="18.0" customHeight="1">
      <c r="A253" s="248"/>
      <c r="B253" s="249"/>
      <c r="C253" s="250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2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  <c r="AZ253" s="251"/>
      <c r="BA253" s="251"/>
    </row>
    <row r="254" ht="18.0" customHeight="1">
      <c r="A254" s="248"/>
      <c r="B254" s="249"/>
      <c r="C254" s="250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2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  <c r="AZ254" s="251"/>
      <c r="BA254" s="251"/>
    </row>
    <row r="255" ht="18.0" customHeight="1">
      <c r="A255" s="248"/>
      <c r="B255" s="249"/>
      <c r="C255" s="250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2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  <c r="AZ255" s="251"/>
      <c r="BA255" s="251"/>
    </row>
    <row r="256" ht="18.0" customHeight="1">
      <c r="A256" s="248"/>
      <c r="B256" s="249"/>
      <c r="C256" s="250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2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  <c r="AZ256" s="251"/>
      <c r="BA256" s="251"/>
    </row>
    <row r="257" ht="18.0" customHeight="1">
      <c r="A257" s="248"/>
      <c r="B257" s="249"/>
      <c r="C257" s="250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2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  <c r="AZ257" s="251"/>
      <c r="BA257" s="251"/>
    </row>
    <row r="258" ht="18.0" customHeight="1">
      <c r="A258" s="248"/>
      <c r="B258" s="249"/>
      <c r="C258" s="250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2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  <c r="AZ258" s="251"/>
      <c r="BA258" s="251"/>
    </row>
    <row r="259" ht="18.0" customHeight="1">
      <c r="A259" s="248"/>
      <c r="B259" s="249"/>
      <c r="C259" s="250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2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  <c r="AZ259" s="251"/>
      <c r="BA259" s="251"/>
    </row>
    <row r="260" ht="18.0" customHeight="1">
      <c r="A260" s="248"/>
      <c r="B260" s="249"/>
      <c r="C260" s="250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2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  <c r="AZ260" s="251"/>
      <c r="BA260" s="251"/>
    </row>
    <row r="261" ht="18.0" customHeight="1">
      <c r="A261" s="248"/>
      <c r="B261" s="249"/>
      <c r="C261" s="250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2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  <c r="AZ261" s="251"/>
      <c r="BA261" s="251"/>
    </row>
    <row r="262" ht="18.0" customHeight="1">
      <c r="A262" s="248"/>
      <c r="B262" s="249"/>
      <c r="C262" s="250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2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  <c r="AZ262" s="251"/>
      <c r="BA262" s="251"/>
    </row>
    <row r="263" ht="18.0" customHeight="1">
      <c r="A263" s="248"/>
      <c r="B263" s="249"/>
      <c r="C263" s="250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2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  <c r="AZ263" s="251"/>
      <c r="BA263" s="251"/>
    </row>
    <row r="264" ht="18.0" customHeight="1">
      <c r="A264" s="248"/>
      <c r="B264" s="249"/>
      <c r="C264" s="250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2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  <c r="AZ264" s="251"/>
      <c r="BA264" s="251"/>
    </row>
    <row r="265" ht="18.0" customHeight="1">
      <c r="A265" s="248"/>
      <c r="B265" s="249"/>
      <c r="C265" s="250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2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  <c r="AZ265" s="251"/>
      <c r="BA265" s="251"/>
    </row>
    <row r="266" ht="18.0" customHeight="1">
      <c r="A266" s="248"/>
      <c r="B266" s="249"/>
      <c r="C266" s="250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2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  <c r="AZ266" s="251"/>
      <c r="BA266" s="251"/>
    </row>
    <row r="267" ht="18.0" customHeight="1">
      <c r="A267" s="248"/>
      <c r="B267" s="249"/>
      <c r="C267" s="250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2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  <c r="AZ267" s="251"/>
      <c r="BA267" s="251"/>
    </row>
    <row r="268" ht="18.0" customHeight="1">
      <c r="A268" s="248"/>
      <c r="B268" s="249"/>
      <c r="C268" s="250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2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  <c r="AZ268" s="251"/>
      <c r="BA268" s="251"/>
    </row>
    <row r="269" ht="18.0" customHeight="1">
      <c r="A269" s="248"/>
      <c r="B269" s="249"/>
      <c r="C269" s="250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2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  <c r="AZ269" s="251"/>
      <c r="BA269" s="251"/>
    </row>
    <row r="270" ht="18.0" customHeight="1">
      <c r="A270" s="248"/>
      <c r="B270" s="249"/>
      <c r="C270" s="250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2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  <c r="AZ270" s="251"/>
      <c r="BA270" s="251"/>
    </row>
    <row r="271" ht="18.0" customHeight="1">
      <c r="A271" s="248"/>
      <c r="B271" s="249"/>
      <c r="C271" s="250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2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  <c r="AZ271" s="251"/>
      <c r="BA271" s="251"/>
    </row>
    <row r="272" ht="18.0" customHeight="1">
      <c r="A272" s="248"/>
      <c r="B272" s="249"/>
      <c r="C272" s="250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2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  <c r="AZ272" s="251"/>
      <c r="BA272" s="251"/>
    </row>
    <row r="273" ht="18.0" customHeight="1">
      <c r="A273" s="248"/>
      <c r="B273" s="249"/>
      <c r="C273" s="250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2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  <c r="AZ273" s="251"/>
      <c r="BA273" s="251"/>
    </row>
    <row r="274" ht="18.0" customHeight="1">
      <c r="A274" s="248"/>
      <c r="B274" s="249"/>
      <c r="C274" s="250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2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  <c r="AZ274" s="251"/>
      <c r="BA274" s="251"/>
    </row>
    <row r="275" ht="18.0" customHeight="1">
      <c r="A275" s="248"/>
      <c r="B275" s="249"/>
      <c r="C275" s="250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2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  <c r="AZ275" s="251"/>
      <c r="BA275" s="251"/>
    </row>
    <row r="276" ht="18.0" customHeight="1">
      <c r="A276" s="248"/>
      <c r="B276" s="249"/>
      <c r="C276" s="250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2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  <c r="AZ276" s="251"/>
      <c r="BA276" s="251"/>
    </row>
    <row r="277" ht="18.0" customHeight="1">
      <c r="A277" s="248"/>
      <c r="B277" s="249"/>
      <c r="C277" s="250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2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  <c r="AZ277" s="251"/>
      <c r="BA277" s="251"/>
    </row>
    <row r="278" ht="18.0" customHeight="1">
      <c r="A278" s="248"/>
      <c r="B278" s="249"/>
      <c r="C278" s="250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2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  <c r="AZ278" s="251"/>
      <c r="BA278" s="251"/>
    </row>
    <row r="279" ht="18.0" customHeight="1">
      <c r="A279" s="248"/>
      <c r="B279" s="249"/>
      <c r="C279" s="250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2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  <c r="AZ279" s="251"/>
      <c r="BA279" s="251"/>
    </row>
    <row r="280" ht="18.0" customHeight="1">
      <c r="A280" s="248"/>
      <c r="B280" s="249"/>
      <c r="C280" s="250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2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  <c r="AZ280" s="251"/>
      <c r="BA280" s="251"/>
    </row>
    <row r="281" ht="18.0" customHeight="1">
      <c r="A281" s="248"/>
      <c r="B281" s="249"/>
      <c r="C281" s="250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2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  <c r="AZ281" s="251"/>
      <c r="BA281" s="251"/>
    </row>
    <row r="282" ht="18.0" customHeight="1">
      <c r="A282" s="248"/>
      <c r="B282" s="249"/>
      <c r="C282" s="250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2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  <c r="AZ282" s="251"/>
      <c r="BA282" s="251"/>
    </row>
    <row r="283" ht="18.0" customHeight="1">
      <c r="A283" s="248"/>
      <c r="B283" s="249"/>
      <c r="C283" s="250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2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  <c r="AZ283" s="251"/>
      <c r="BA283" s="251"/>
    </row>
    <row r="284" ht="18.0" customHeight="1">
      <c r="A284" s="248"/>
      <c r="B284" s="249"/>
      <c r="C284" s="250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2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  <c r="AZ284" s="251"/>
      <c r="BA284" s="251"/>
    </row>
    <row r="285" ht="18.0" customHeight="1">
      <c r="A285" s="248"/>
      <c r="B285" s="249"/>
      <c r="C285" s="250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2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  <c r="AZ285" s="251"/>
      <c r="BA285" s="251"/>
    </row>
    <row r="286" ht="18.0" customHeight="1">
      <c r="A286" s="248"/>
      <c r="B286" s="249"/>
      <c r="C286" s="250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2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  <c r="AZ286" s="251"/>
      <c r="BA286" s="251"/>
    </row>
    <row r="287" ht="18.0" customHeight="1">
      <c r="A287" s="248"/>
      <c r="B287" s="249"/>
      <c r="C287" s="250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2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  <c r="AZ287" s="251"/>
      <c r="BA287" s="251"/>
    </row>
    <row r="288" ht="18.0" customHeight="1">
      <c r="A288" s="248"/>
      <c r="B288" s="249"/>
      <c r="C288" s="250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2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  <c r="AZ288" s="251"/>
      <c r="BA288" s="251"/>
    </row>
    <row r="289" ht="18.0" customHeight="1">
      <c r="A289" s="248"/>
      <c r="B289" s="249"/>
      <c r="C289" s="250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2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  <c r="AZ289" s="251"/>
      <c r="BA289" s="251"/>
    </row>
    <row r="290" ht="18.0" customHeight="1">
      <c r="A290" s="248"/>
      <c r="B290" s="249"/>
      <c r="C290" s="250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2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  <c r="AZ290" s="251"/>
      <c r="BA290" s="251"/>
    </row>
    <row r="291" ht="18.0" customHeight="1">
      <c r="A291" s="248"/>
      <c r="B291" s="249"/>
      <c r="C291" s="250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2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  <c r="AZ291" s="251"/>
      <c r="BA291" s="251"/>
    </row>
    <row r="292" ht="18.0" customHeight="1">
      <c r="A292" s="248"/>
      <c r="B292" s="249"/>
      <c r="C292" s="250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2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  <c r="AZ292" s="251"/>
      <c r="BA292" s="251"/>
    </row>
    <row r="293" ht="18.0" customHeight="1">
      <c r="A293" s="248"/>
      <c r="B293" s="249"/>
      <c r="C293" s="250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2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  <c r="AZ293" s="251"/>
      <c r="BA293" s="251"/>
    </row>
    <row r="294" ht="18.0" customHeight="1">
      <c r="A294" s="248"/>
      <c r="B294" s="249"/>
      <c r="C294" s="250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2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  <c r="AZ294" s="251"/>
      <c r="BA294" s="251"/>
    </row>
    <row r="295" ht="18.0" customHeight="1">
      <c r="A295" s="248"/>
      <c r="B295" s="249"/>
      <c r="C295" s="250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2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  <c r="AZ295" s="251"/>
      <c r="BA295" s="251"/>
    </row>
    <row r="296" ht="18.0" customHeight="1">
      <c r="A296" s="248"/>
      <c r="B296" s="249"/>
      <c r="C296" s="250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2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  <c r="AZ296" s="251"/>
      <c r="BA296" s="251"/>
    </row>
    <row r="297" ht="18.0" customHeight="1">
      <c r="A297" s="248"/>
      <c r="B297" s="249"/>
      <c r="C297" s="250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2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  <c r="AZ297" s="251"/>
      <c r="BA297" s="251"/>
    </row>
    <row r="298" ht="18.0" customHeight="1">
      <c r="A298" s="248"/>
      <c r="B298" s="249"/>
      <c r="C298" s="250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2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  <c r="AZ298" s="251"/>
      <c r="BA298" s="251"/>
    </row>
    <row r="299" ht="18.0" customHeight="1">
      <c r="A299" s="248"/>
      <c r="B299" s="249"/>
      <c r="C299" s="250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2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  <c r="AZ299" s="251"/>
      <c r="BA299" s="251"/>
    </row>
    <row r="300" ht="18.0" customHeight="1">
      <c r="A300" s="248"/>
      <c r="B300" s="249"/>
      <c r="C300" s="250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2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  <c r="AZ300" s="251"/>
      <c r="BA300" s="251"/>
    </row>
    <row r="301" ht="18.0" customHeight="1">
      <c r="A301" s="248"/>
      <c r="B301" s="249"/>
      <c r="C301" s="250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2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  <c r="AZ301" s="251"/>
      <c r="BA301" s="251"/>
    </row>
    <row r="302" ht="18.0" customHeight="1">
      <c r="A302" s="248"/>
      <c r="B302" s="249"/>
      <c r="C302" s="250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2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  <c r="AZ302" s="251"/>
      <c r="BA302" s="251"/>
    </row>
    <row r="303" ht="18.0" customHeight="1">
      <c r="A303" s="248"/>
      <c r="B303" s="249"/>
      <c r="C303" s="250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2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  <c r="AZ303" s="251"/>
      <c r="BA303" s="251"/>
    </row>
    <row r="304" ht="18.0" customHeight="1">
      <c r="A304" s="248"/>
      <c r="B304" s="249"/>
      <c r="C304" s="250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2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  <c r="AZ304" s="251"/>
      <c r="BA304" s="251"/>
    </row>
    <row r="305" ht="18.0" customHeight="1">
      <c r="A305" s="248"/>
      <c r="B305" s="249"/>
      <c r="C305" s="250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2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  <c r="AZ305" s="251"/>
      <c r="BA305" s="251"/>
    </row>
    <row r="306" ht="18.0" customHeight="1">
      <c r="A306" s="248"/>
      <c r="B306" s="249"/>
      <c r="C306" s="250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2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  <c r="AZ306" s="251"/>
      <c r="BA306" s="251"/>
    </row>
    <row r="307" ht="18.0" customHeight="1">
      <c r="A307" s="248"/>
      <c r="B307" s="249"/>
      <c r="C307" s="250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2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  <c r="AZ307" s="251"/>
      <c r="BA307" s="251"/>
    </row>
    <row r="308" ht="18.0" customHeight="1">
      <c r="A308" s="248"/>
      <c r="B308" s="249"/>
      <c r="C308" s="250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2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  <c r="AZ308" s="251"/>
      <c r="BA308" s="251"/>
    </row>
    <row r="309" ht="18.0" customHeight="1">
      <c r="A309" s="248"/>
      <c r="B309" s="249"/>
      <c r="C309" s="250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2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  <c r="AZ309" s="251"/>
      <c r="BA309" s="251"/>
    </row>
    <row r="310" ht="18.0" customHeight="1">
      <c r="A310" s="248"/>
      <c r="B310" s="249"/>
      <c r="C310" s="250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2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  <c r="AZ310" s="251"/>
      <c r="BA310" s="251"/>
    </row>
    <row r="311" ht="18.0" customHeight="1">
      <c r="A311" s="248"/>
      <c r="B311" s="249"/>
      <c r="C311" s="250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2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  <c r="AZ311" s="251"/>
      <c r="BA311" s="251"/>
    </row>
    <row r="312" ht="18.0" customHeight="1">
      <c r="A312" s="248"/>
      <c r="B312" s="249"/>
      <c r="C312" s="250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2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  <c r="AZ312" s="251"/>
      <c r="BA312" s="251"/>
    </row>
    <row r="313" ht="18.0" customHeight="1">
      <c r="A313" s="248"/>
      <c r="B313" s="249"/>
      <c r="C313" s="250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2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  <c r="AZ313" s="251"/>
      <c r="BA313" s="251"/>
    </row>
    <row r="314" ht="18.0" customHeight="1">
      <c r="A314" s="248"/>
      <c r="B314" s="249"/>
      <c r="C314" s="250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2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  <c r="AZ314" s="251"/>
      <c r="BA314" s="251"/>
    </row>
    <row r="315" ht="18.0" customHeight="1">
      <c r="A315" s="248"/>
      <c r="B315" s="249"/>
      <c r="C315" s="250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2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  <c r="AZ315" s="251"/>
      <c r="BA315" s="251"/>
    </row>
    <row r="316" ht="18.0" customHeight="1">
      <c r="A316" s="248"/>
      <c r="B316" s="249"/>
      <c r="C316" s="250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2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  <c r="AZ316" s="251"/>
      <c r="BA316" s="251"/>
    </row>
    <row r="317" ht="18.0" customHeight="1">
      <c r="A317" s="248"/>
      <c r="B317" s="249"/>
      <c r="C317" s="250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2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  <c r="AZ317" s="251"/>
      <c r="BA317" s="251"/>
    </row>
    <row r="318" ht="18.0" customHeight="1">
      <c r="A318" s="248"/>
      <c r="B318" s="249"/>
      <c r="C318" s="250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2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  <c r="AZ318" s="251"/>
      <c r="BA318" s="251"/>
    </row>
    <row r="319" ht="18.0" customHeight="1">
      <c r="A319" s="248"/>
      <c r="B319" s="249"/>
      <c r="C319" s="250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2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  <c r="AZ319" s="251"/>
      <c r="BA319" s="251"/>
    </row>
    <row r="320" ht="18.0" customHeight="1">
      <c r="A320" s="248"/>
      <c r="B320" s="249"/>
      <c r="C320" s="250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2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  <c r="AZ320" s="251"/>
      <c r="BA320" s="251"/>
    </row>
    <row r="321" ht="18.0" customHeight="1">
      <c r="A321" s="248"/>
      <c r="B321" s="249"/>
      <c r="C321" s="250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2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  <c r="AZ321" s="251"/>
      <c r="BA321" s="251"/>
    </row>
    <row r="322" ht="18.0" customHeight="1">
      <c r="A322" s="248"/>
      <c r="B322" s="249"/>
      <c r="C322" s="250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2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  <c r="AZ322" s="251"/>
      <c r="BA322" s="251"/>
    </row>
    <row r="323" ht="18.0" customHeight="1">
      <c r="A323" s="248"/>
      <c r="B323" s="249"/>
      <c r="C323" s="250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2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  <c r="AZ323" s="251"/>
      <c r="BA323" s="251"/>
    </row>
    <row r="324" ht="18.0" customHeight="1">
      <c r="A324" s="248"/>
      <c r="B324" s="249"/>
      <c r="C324" s="250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2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  <c r="AZ324" s="251"/>
      <c r="BA324" s="251"/>
    </row>
    <row r="325" ht="18.0" customHeight="1">
      <c r="A325" s="248"/>
      <c r="B325" s="249"/>
      <c r="C325" s="250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2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  <c r="AZ325" s="251"/>
      <c r="BA325" s="251"/>
    </row>
    <row r="326" ht="18.0" customHeight="1">
      <c r="A326" s="248"/>
      <c r="B326" s="249"/>
      <c r="C326" s="250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2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  <c r="AZ326" s="251"/>
      <c r="BA326" s="251"/>
    </row>
    <row r="327" ht="18.0" customHeight="1">
      <c r="A327" s="248"/>
      <c r="B327" s="249"/>
      <c r="C327" s="250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2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  <c r="AZ327" s="251"/>
      <c r="BA327" s="251"/>
    </row>
    <row r="328" ht="18.0" customHeight="1">
      <c r="A328" s="248"/>
      <c r="B328" s="249"/>
      <c r="C328" s="250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2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  <c r="AZ328" s="251"/>
      <c r="BA328" s="251"/>
    </row>
    <row r="329" ht="18.0" customHeight="1">
      <c r="A329" s="248"/>
      <c r="B329" s="249"/>
      <c r="C329" s="250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2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  <c r="AZ329" s="251"/>
      <c r="BA329" s="251"/>
    </row>
    <row r="330" ht="18.0" customHeight="1">
      <c r="A330" s="248"/>
      <c r="B330" s="249"/>
      <c r="C330" s="250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2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  <c r="AZ330" s="251"/>
      <c r="BA330" s="251"/>
    </row>
    <row r="331" ht="18.0" customHeight="1">
      <c r="A331" s="248"/>
      <c r="B331" s="249"/>
      <c r="C331" s="250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2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  <c r="AZ331" s="251"/>
      <c r="BA331" s="251"/>
    </row>
    <row r="332" ht="18.0" customHeight="1">
      <c r="A332" s="248"/>
      <c r="B332" s="249"/>
      <c r="C332" s="250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2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  <c r="AZ332" s="251"/>
      <c r="BA332" s="251"/>
    </row>
    <row r="333" ht="18.0" customHeight="1">
      <c r="A333" s="248"/>
      <c r="B333" s="249"/>
      <c r="C333" s="250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2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  <c r="AZ333" s="251"/>
      <c r="BA333" s="251"/>
    </row>
    <row r="334" ht="18.0" customHeight="1">
      <c r="A334" s="248"/>
      <c r="B334" s="249"/>
      <c r="C334" s="250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2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  <c r="AZ334" s="251"/>
      <c r="BA334" s="251"/>
    </row>
    <row r="335" ht="18.0" customHeight="1">
      <c r="A335" s="248"/>
      <c r="B335" s="249"/>
      <c r="C335" s="250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2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  <c r="AZ335" s="251"/>
      <c r="BA335" s="251"/>
    </row>
    <row r="336" ht="18.0" customHeight="1">
      <c r="A336" s="248"/>
      <c r="B336" s="249"/>
      <c r="C336" s="250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2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  <c r="AZ336" s="251"/>
      <c r="BA336" s="251"/>
    </row>
    <row r="337" ht="18.0" customHeight="1">
      <c r="A337" s="248"/>
      <c r="B337" s="249"/>
      <c r="C337" s="250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2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  <c r="AZ337" s="251"/>
      <c r="BA337" s="251"/>
    </row>
    <row r="338" ht="18.0" customHeight="1">
      <c r="A338" s="248"/>
      <c r="B338" s="249"/>
      <c r="C338" s="250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2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  <c r="AZ338" s="251"/>
      <c r="BA338" s="251"/>
    </row>
    <row r="339" ht="18.0" customHeight="1">
      <c r="A339" s="248"/>
      <c r="B339" s="249"/>
      <c r="C339" s="250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2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  <c r="AZ339" s="251"/>
      <c r="BA339" s="251"/>
    </row>
    <row r="340" ht="18.0" customHeight="1">
      <c r="A340" s="248"/>
      <c r="B340" s="249"/>
      <c r="C340" s="250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2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  <c r="AZ340" s="251"/>
      <c r="BA340" s="251"/>
    </row>
    <row r="341" ht="18.0" customHeight="1">
      <c r="A341" s="248"/>
      <c r="B341" s="249"/>
      <c r="C341" s="250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2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  <c r="AZ341" s="251"/>
      <c r="BA341" s="251"/>
    </row>
    <row r="342" ht="18.0" customHeight="1">
      <c r="A342" s="248"/>
      <c r="B342" s="249"/>
      <c r="C342" s="250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2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  <c r="AZ342" s="251"/>
      <c r="BA342" s="251"/>
    </row>
    <row r="343" ht="18.0" customHeight="1">
      <c r="A343" s="248"/>
      <c r="B343" s="249"/>
      <c r="C343" s="250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2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  <c r="AZ343" s="251"/>
      <c r="BA343" s="251"/>
    </row>
    <row r="344" ht="18.0" customHeight="1">
      <c r="A344" s="248"/>
      <c r="B344" s="249"/>
      <c r="C344" s="250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2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  <c r="AZ344" s="251"/>
      <c r="BA344" s="251"/>
    </row>
    <row r="345" ht="18.0" customHeight="1">
      <c r="A345" s="248"/>
      <c r="B345" s="249"/>
      <c r="C345" s="250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2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  <c r="AZ345" s="251"/>
      <c r="BA345" s="251"/>
    </row>
    <row r="346" ht="18.0" customHeight="1">
      <c r="A346" s="248"/>
      <c r="B346" s="249"/>
      <c r="C346" s="250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2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  <c r="AZ346" s="251"/>
      <c r="BA346" s="251"/>
    </row>
    <row r="347" ht="18.0" customHeight="1">
      <c r="A347" s="248"/>
      <c r="B347" s="249"/>
      <c r="C347" s="250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2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  <c r="AZ347" s="251"/>
      <c r="BA347" s="251"/>
    </row>
    <row r="348" ht="18.0" customHeight="1">
      <c r="A348" s="248"/>
      <c r="B348" s="249"/>
      <c r="C348" s="250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2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  <c r="AZ348" s="251"/>
      <c r="BA348" s="251"/>
    </row>
    <row r="349" ht="18.0" customHeight="1">
      <c r="A349" s="248"/>
      <c r="B349" s="249"/>
      <c r="C349" s="250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2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  <c r="AZ349" s="251"/>
      <c r="BA349" s="251"/>
    </row>
    <row r="350" ht="18.0" customHeight="1">
      <c r="A350" s="248"/>
      <c r="B350" s="249"/>
      <c r="C350" s="250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2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  <c r="AZ350" s="251"/>
      <c r="BA350" s="251"/>
    </row>
    <row r="351" ht="18.0" customHeight="1">
      <c r="A351" s="248"/>
      <c r="B351" s="249"/>
      <c r="C351" s="250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2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  <c r="AZ351" s="251"/>
      <c r="BA351" s="251"/>
    </row>
    <row r="352" ht="18.0" customHeight="1">
      <c r="A352" s="248"/>
      <c r="B352" s="249"/>
      <c r="C352" s="250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2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  <c r="AZ352" s="251"/>
      <c r="BA352" s="251"/>
    </row>
    <row r="353" ht="18.0" customHeight="1">
      <c r="A353" s="248"/>
      <c r="B353" s="249"/>
      <c r="C353" s="250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2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  <c r="AZ353" s="251"/>
      <c r="BA353" s="251"/>
    </row>
    <row r="354" ht="18.0" customHeight="1">
      <c r="A354" s="248"/>
      <c r="B354" s="249"/>
      <c r="C354" s="250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2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  <c r="AZ354" s="251"/>
      <c r="BA354" s="251"/>
    </row>
    <row r="355" ht="18.0" customHeight="1">
      <c r="A355" s="248"/>
      <c r="B355" s="249"/>
      <c r="C355" s="250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2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  <c r="AZ355" s="251"/>
      <c r="BA355" s="251"/>
    </row>
    <row r="356" ht="18.0" customHeight="1">
      <c r="A356" s="248"/>
      <c r="B356" s="249"/>
      <c r="C356" s="250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2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  <c r="AZ356" s="251"/>
      <c r="BA356" s="251"/>
    </row>
    <row r="357" ht="18.0" customHeight="1">
      <c r="A357" s="248"/>
      <c r="B357" s="249"/>
      <c r="C357" s="250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2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  <c r="AZ357" s="251"/>
      <c r="BA357" s="251"/>
    </row>
    <row r="358" ht="18.0" customHeight="1">
      <c r="A358" s="248"/>
      <c r="B358" s="249"/>
      <c r="C358" s="250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2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  <c r="AZ358" s="251"/>
      <c r="BA358" s="251"/>
    </row>
    <row r="359" ht="18.0" customHeight="1">
      <c r="A359" s="248"/>
      <c r="B359" s="249"/>
      <c r="C359" s="250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2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  <c r="AZ359" s="251"/>
      <c r="BA359" s="251"/>
    </row>
    <row r="360" ht="18.0" customHeight="1">
      <c r="A360" s="248"/>
      <c r="B360" s="249"/>
      <c r="C360" s="250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2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  <c r="AZ360" s="251"/>
      <c r="BA360" s="251"/>
    </row>
    <row r="361" ht="18.0" customHeight="1">
      <c r="A361" s="248"/>
      <c r="B361" s="249"/>
      <c r="C361" s="250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2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  <c r="AZ361" s="251"/>
      <c r="BA361" s="251"/>
    </row>
    <row r="362" ht="18.0" customHeight="1">
      <c r="A362" s="248"/>
      <c r="B362" s="249"/>
      <c r="C362" s="250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2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  <c r="AZ362" s="251"/>
      <c r="BA362" s="251"/>
    </row>
    <row r="363" ht="18.0" customHeight="1">
      <c r="A363" s="248"/>
      <c r="B363" s="249"/>
      <c r="C363" s="250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2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  <c r="AZ363" s="251"/>
      <c r="BA363" s="251"/>
    </row>
    <row r="364" ht="18.0" customHeight="1">
      <c r="A364" s="248"/>
      <c r="B364" s="249"/>
      <c r="C364" s="250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2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  <c r="AZ364" s="251"/>
      <c r="BA364" s="251"/>
    </row>
    <row r="365" ht="18.0" customHeight="1">
      <c r="A365" s="248"/>
      <c r="B365" s="249"/>
      <c r="C365" s="250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2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  <c r="AZ365" s="251"/>
      <c r="BA365" s="251"/>
    </row>
    <row r="366" ht="18.0" customHeight="1">
      <c r="A366" s="248"/>
      <c r="B366" s="249"/>
      <c r="C366" s="250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2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  <c r="AZ366" s="251"/>
      <c r="BA366" s="251"/>
    </row>
    <row r="367" ht="18.0" customHeight="1">
      <c r="A367" s="248"/>
      <c r="B367" s="249"/>
      <c r="C367" s="250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2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  <c r="AZ367" s="251"/>
      <c r="BA367" s="251"/>
    </row>
    <row r="368" ht="18.0" customHeight="1">
      <c r="A368" s="248"/>
      <c r="B368" s="249"/>
      <c r="C368" s="250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2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  <c r="AZ368" s="251"/>
      <c r="BA368" s="251"/>
    </row>
    <row r="369" ht="18.0" customHeight="1">
      <c r="A369" s="248"/>
      <c r="B369" s="249"/>
      <c r="C369" s="250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2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  <c r="AZ369" s="251"/>
      <c r="BA369" s="251"/>
    </row>
    <row r="370" ht="18.0" customHeight="1">
      <c r="A370" s="248"/>
      <c r="B370" s="249"/>
      <c r="C370" s="250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2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  <c r="AZ370" s="251"/>
      <c r="BA370" s="251"/>
    </row>
    <row r="371" ht="18.0" customHeight="1">
      <c r="A371" s="248"/>
      <c r="B371" s="249"/>
      <c r="C371" s="250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2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  <c r="AZ371" s="251"/>
      <c r="BA371" s="251"/>
    </row>
    <row r="372" ht="18.0" customHeight="1">
      <c r="A372" s="248"/>
      <c r="B372" s="249"/>
      <c r="C372" s="250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2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  <c r="AZ372" s="251"/>
      <c r="BA372" s="251"/>
    </row>
    <row r="373" ht="18.0" customHeight="1">
      <c r="A373" s="248"/>
      <c r="B373" s="249"/>
      <c r="C373" s="250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2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  <c r="AZ373" s="251"/>
      <c r="BA373" s="251"/>
    </row>
    <row r="374" ht="18.0" customHeight="1">
      <c r="A374" s="248"/>
      <c r="B374" s="249"/>
      <c r="C374" s="250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2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  <c r="AZ374" s="251"/>
      <c r="BA374" s="251"/>
    </row>
    <row r="375" ht="18.0" customHeight="1">
      <c r="A375" s="248"/>
      <c r="B375" s="249"/>
      <c r="C375" s="250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2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  <c r="AZ375" s="251"/>
      <c r="BA375" s="251"/>
    </row>
    <row r="376" ht="18.0" customHeight="1">
      <c r="A376" s="248"/>
      <c r="B376" s="249"/>
      <c r="C376" s="250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2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  <c r="AZ376" s="251"/>
      <c r="BA376" s="251"/>
    </row>
    <row r="377" ht="18.0" customHeight="1">
      <c r="A377" s="248"/>
      <c r="B377" s="249"/>
      <c r="C377" s="250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2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  <c r="AZ377" s="251"/>
      <c r="BA377" s="251"/>
    </row>
    <row r="378" ht="18.0" customHeight="1">
      <c r="A378" s="248"/>
      <c r="B378" s="249"/>
      <c r="C378" s="250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2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  <c r="AZ378" s="251"/>
      <c r="BA378" s="251"/>
    </row>
    <row r="379" ht="18.0" customHeight="1">
      <c r="A379" s="248"/>
      <c r="B379" s="249"/>
      <c r="C379" s="250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2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  <c r="AZ379" s="251"/>
      <c r="BA379" s="251"/>
    </row>
    <row r="380" ht="18.0" customHeight="1">
      <c r="A380" s="248"/>
      <c r="B380" s="249"/>
      <c r="C380" s="250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2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  <c r="AZ380" s="251"/>
      <c r="BA380" s="251"/>
    </row>
    <row r="381" ht="18.0" customHeight="1">
      <c r="A381" s="248"/>
      <c r="B381" s="249"/>
      <c r="C381" s="250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2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  <c r="AZ381" s="251"/>
      <c r="BA381" s="251"/>
    </row>
    <row r="382" ht="18.0" customHeight="1">
      <c r="A382" s="248"/>
      <c r="B382" s="249"/>
      <c r="C382" s="250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2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  <c r="AZ382" s="251"/>
      <c r="BA382" s="251"/>
    </row>
    <row r="383" ht="18.0" customHeight="1">
      <c r="A383" s="248"/>
      <c r="B383" s="249"/>
      <c r="C383" s="250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2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  <c r="AZ383" s="251"/>
      <c r="BA383" s="251"/>
    </row>
    <row r="384" ht="18.0" customHeight="1">
      <c r="A384" s="248"/>
      <c r="B384" s="249"/>
      <c r="C384" s="250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2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  <c r="AZ384" s="251"/>
      <c r="BA384" s="251"/>
    </row>
    <row r="385" ht="18.0" customHeight="1">
      <c r="A385" s="248"/>
      <c r="B385" s="249"/>
      <c r="C385" s="250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2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  <c r="AZ385" s="251"/>
      <c r="BA385" s="251"/>
    </row>
    <row r="386" ht="18.0" customHeight="1">
      <c r="A386" s="248"/>
      <c r="B386" s="249"/>
      <c r="C386" s="250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2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  <c r="AZ386" s="251"/>
      <c r="BA386" s="251"/>
    </row>
    <row r="387" ht="18.0" customHeight="1">
      <c r="A387" s="248"/>
      <c r="B387" s="249"/>
      <c r="C387" s="250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2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  <c r="AZ387" s="251"/>
      <c r="BA387" s="251"/>
    </row>
    <row r="388" ht="18.0" customHeight="1">
      <c r="A388" s="248"/>
      <c r="B388" s="249"/>
      <c r="C388" s="250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2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  <c r="AZ388" s="251"/>
      <c r="BA388" s="251"/>
    </row>
    <row r="389" ht="15.75" customHeight="1">
      <c r="AA389" s="256"/>
    </row>
    <row r="390" ht="15.75" customHeight="1">
      <c r="AA390" s="256"/>
    </row>
    <row r="391" ht="15.75" customHeight="1">
      <c r="AA391" s="256"/>
    </row>
    <row r="392" ht="15.75" customHeight="1">
      <c r="AA392" s="256"/>
    </row>
    <row r="393" ht="15.75" customHeight="1">
      <c r="AA393" s="256"/>
    </row>
    <row r="394" ht="15.75" customHeight="1">
      <c r="AA394" s="256"/>
    </row>
    <row r="395" ht="15.75" customHeight="1">
      <c r="AA395" s="256"/>
    </row>
    <row r="396" ht="15.75" customHeight="1">
      <c r="AA396" s="256"/>
    </row>
    <row r="397" ht="15.75" customHeight="1">
      <c r="AA397" s="256"/>
    </row>
    <row r="398" ht="15.75" customHeight="1">
      <c r="AA398" s="256"/>
    </row>
    <row r="399" ht="15.75" customHeight="1">
      <c r="AA399" s="256"/>
    </row>
    <row r="400" ht="15.75" customHeight="1">
      <c r="AA400" s="256"/>
    </row>
    <row r="401" ht="15.75" customHeight="1">
      <c r="AA401" s="256"/>
    </row>
    <row r="402" ht="15.75" customHeight="1">
      <c r="AA402" s="256"/>
    </row>
    <row r="403" ht="15.75" customHeight="1">
      <c r="AA403" s="256"/>
    </row>
    <row r="404" ht="15.75" customHeight="1">
      <c r="AA404" s="256"/>
    </row>
    <row r="405" ht="15.75" customHeight="1">
      <c r="AA405" s="256"/>
    </row>
    <row r="406" ht="15.75" customHeight="1">
      <c r="AA406" s="256"/>
    </row>
    <row r="407" ht="15.75" customHeight="1">
      <c r="AA407" s="256"/>
    </row>
    <row r="408" ht="15.75" customHeight="1">
      <c r="AA408" s="256"/>
    </row>
    <row r="409" ht="15.75" customHeight="1">
      <c r="AA409" s="256"/>
    </row>
    <row r="410" ht="15.75" customHeight="1">
      <c r="AA410" s="256"/>
    </row>
    <row r="411" ht="15.75" customHeight="1">
      <c r="AA411" s="256"/>
    </row>
    <row r="412" ht="15.75" customHeight="1">
      <c r="AA412" s="256"/>
    </row>
    <row r="413" ht="15.75" customHeight="1">
      <c r="AA413" s="256"/>
    </row>
    <row r="414" ht="15.75" customHeight="1">
      <c r="AA414" s="256"/>
    </row>
    <row r="415" ht="15.75" customHeight="1">
      <c r="AA415" s="256"/>
    </row>
    <row r="416" ht="15.75" customHeight="1">
      <c r="AA416" s="256"/>
    </row>
    <row r="417" ht="15.75" customHeight="1">
      <c r="AA417" s="256"/>
    </row>
    <row r="418" ht="15.75" customHeight="1">
      <c r="AA418" s="256"/>
    </row>
    <row r="419" ht="15.75" customHeight="1">
      <c r="AA419" s="256"/>
    </row>
    <row r="420" ht="15.75" customHeight="1">
      <c r="AA420" s="256"/>
    </row>
    <row r="421" ht="15.75" customHeight="1">
      <c r="AA421" s="256"/>
    </row>
    <row r="422" ht="15.75" customHeight="1">
      <c r="AA422" s="256"/>
    </row>
    <row r="423" ht="15.75" customHeight="1">
      <c r="AA423" s="256"/>
    </row>
    <row r="424" ht="15.75" customHeight="1">
      <c r="AA424" s="256"/>
    </row>
    <row r="425" ht="15.75" customHeight="1">
      <c r="AA425" s="256"/>
    </row>
    <row r="426" ht="15.75" customHeight="1">
      <c r="AA426" s="256"/>
    </row>
    <row r="427" ht="15.75" customHeight="1">
      <c r="AA427" s="256"/>
    </row>
    <row r="428" ht="15.75" customHeight="1">
      <c r="AA428" s="256"/>
    </row>
    <row r="429" ht="15.75" customHeight="1">
      <c r="AA429" s="256"/>
    </row>
    <row r="430" ht="15.75" customHeight="1">
      <c r="AA430" s="256"/>
    </row>
    <row r="431" ht="15.75" customHeight="1">
      <c r="AA431" s="256"/>
    </row>
    <row r="432" ht="15.75" customHeight="1">
      <c r="AA432" s="256"/>
    </row>
    <row r="433" ht="15.75" customHeight="1">
      <c r="AA433" s="256"/>
    </row>
    <row r="434" ht="15.75" customHeight="1">
      <c r="AA434" s="256"/>
    </row>
    <row r="435" ht="15.75" customHeight="1">
      <c r="AA435" s="256"/>
    </row>
    <row r="436" ht="15.75" customHeight="1">
      <c r="AA436" s="256"/>
    </row>
    <row r="437" ht="15.75" customHeight="1">
      <c r="AA437" s="256"/>
    </row>
    <row r="438" ht="15.75" customHeight="1">
      <c r="AA438" s="256"/>
    </row>
    <row r="439" ht="15.75" customHeight="1">
      <c r="AA439" s="256"/>
    </row>
    <row r="440" ht="15.75" customHeight="1">
      <c r="AA440" s="256"/>
    </row>
    <row r="441" ht="15.75" customHeight="1">
      <c r="AA441" s="256"/>
    </row>
    <row r="442" ht="15.75" customHeight="1">
      <c r="AA442" s="256"/>
    </row>
    <row r="443" ht="15.75" customHeight="1">
      <c r="AA443" s="256"/>
    </row>
    <row r="444" ht="15.75" customHeight="1">
      <c r="AA444" s="256"/>
    </row>
    <row r="445" ht="15.75" customHeight="1">
      <c r="AA445" s="256"/>
    </row>
    <row r="446" ht="15.75" customHeight="1">
      <c r="AA446" s="256"/>
    </row>
    <row r="447" ht="15.75" customHeight="1">
      <c r="AA447" s="256"/>
    </row>
    <row r="448" ht="15.75" customHeight="1">
      <c r="AA448" s="256"/>
    </row>
    <row r="449" ht="15.75" customHeight="1">
      <c r="AA449" s="256"/>
    </row>
    <row r="450" ht="15.75" customHeight="1">
      <c r="AA450" s="256"/>
    </row>
    <row r="451" ht="15.75" customHeight="1">
      <c r="AA451" s="256"/>
    </row>
    <row r="452" ht="15.75" customHeight="1">
      <c r="AA452" s="256"/>
    </row>
    <row r="453" ht="15.75" customHeight="1">
      <c r="AA453" s="256"/>
    </row>
    <row r="454" ht="15.75" customHeight="1">
      <c r="AA454" s="256"/>
    </row>
    <row r="455" ht="15.75" customHeight="1">
      <c r="AA455" s="256"/>
    </row>
    <row r="456" ht="15.75" customHeight="1">
      <c r="AA456" s="256"/>
    </row>
    <row r="457" ht="15.75" customHeight="1">
      <c r="AA457" s="256"/>
    </row>
    <row r="458" ht="15.75" customHeight="1">
      <c r="AA458" s="256"/>
    </row>
    <row r="459" ht="15.75" customHeight="1">
      <c r="AA459" s="256"/>
    </row>
    <row r="460" ht="15.75" customHeight="1">
      <c r="AA460" s="256"/>
    </row>
    <row r="461" ht="15.75" customHeight="1">
      <c r="AA461" s="256"/>
    </row>
    <row r="462" ht="15.75" customHeight="1">
      <c r="AA462" s="256"/>
    </row>
    <row r="463" ht="15.75" customHeight="1">
      <c r="AA463" s="256"/>
    </row>
    <row r="464" ht="15.75" customHeight="1">
      <c r="AA464" s="256"/>
    </row>
    <row r="465" ht="15.75" customHeight="1">
      <c r="AA465" s="256"/>
    </row>
    <row r="466" ht="15.75" customHeight="1">
      <c r="AA466" s="256"/>
    </row>
    <row r="467" ht="15.75" customHeight="1">
      <c r="AA467" s="256"/>
    </row>
    <row r="468" ht="15.75" customHeight="1">
      <c r="AA468" s="256"/>
    </row>
    <row r="469" ht="15.75" customHeight="1">
      <c r="AA469" s="256"/>
    </row>
    <row r="470" ht="15.75" customHeight="1">
      <c r="AA470" s="256"/>
    </row>
    <row r="471" ht="15.75" customHeight="1">
      <c r="AA471" s="256"/>
    </row>
    <row r="472" ht="15.75" customHeight="1">
      <c r="AA472" s="256"/>
    </row>
    <row r="473" ht="15.75" customHeight="1">
      <c r="AA473" s="256"/>
    </row>
    <row r="474" ht="15.75" customHeight="1">
      <c r="AA474" s="256"/>
    </row>
    <row r="475" ht="15.75" customHeight="1">
      <c r="AA475" s="256"/>
    </row>
    <row r="476" ht="15.75" customHeight="1">
      <c r="AA476" s="256"/>
    </row>
    <row r="477" ht="15.75" customHeight="1">
      <c r="AA477" s="256"/>
    </row>
    <row r="478" ht="15.75" customHeight="1">
      <c r="AA478" s="256"/>
    </row>
    <row r="479" ht="15.75" customHeight="1">
      <c r="AA479" s="256"/>
    </row>
    <row r="480" ht="15.75" customHeight="1">
      <c r="AA480" s="256"/>
    </row>
    <row r="481" ht="15.75" customHeight="1">
      <c r="AA481" s="256"/>
    </row>
    <row r="482" ht="15.75" customHeight="1">
      <c r="AA482" s="256"/>
    </row>
    <row r="483" ht="15.75" customHeight="1">
      <c r="AA483" s="256"/>
    </row>
    <row r="484" ht="15.75" customHeight="1">
      <c r="AA484" s="256"/>
    </row>
    <row r="485" ht="15.75" customHeight="1">
      <c r="AA485" s="256"/>
    </row>
    <row r="486" ht="15.75" customHeight="1">
      <c r="AA486" s="256"/>
    </row>
    <row r="487" ht="15.75" customHeight="1">
      <c r="AA487" s="256"/>
    </row>
    <row r="488" ht="15.75" customHeight="1">
      <c r="AA488" s="256"/>
    </row>
    <row r="489" ht="15.75" customHeight="1">
      <c r="AA489" s="256"/>
    </row>
    <row r="490" ht="15.75" customHeight="1">
      <c r="AA490" s="256"/>
    </row>
    <row r="491" ht="15.75" customHeight="1">
      <c r="AA491" s="256"/>
    </row>
    <row r="492" ht="15.75" customHeight="1">
      <c r="AA492" s="256"/>
    </row>
    <row r="493" ht="15.75" customHeight="1">
      <c r="AA493" s="256"/>
    </row>
    <row r="494" ht="15.75" customHeight="1">
      <c r="AA494" s="256"/>
    </row>
    <row r="495" ht="15.75" customHeight="1">
      <c r="AA495" s="256"/>
    </row>
    <row r="496" ht="15.75" customHeight="1">
      <c r="AA496" s="256"/>
    </row>
    <row r="497" ht="15.75" customHeight="1">
      <c r="AA497" s="256"/>
    </row>
    <row r="498" ht="15.75" customHeight="1">
      <c r="AA498" s="256"/>
    </row>
    <row r="499" ht="15.75" customHeight="1">
      <c r="AA499" s="256"/>
    </row>
    <row r="500" ht="15.75" customHeight="1">
      <c r="AA500" s="256"/>
    </row>
    <row r="501" ht="15.75" customHeight="1">
      <c r="AA501" s="256"/>
    </row>
    <row r="502" ht="15.75" customHeight="1">
      <c r="AA502" s="256"/>
    </row>
    <row r="503" ht="15.75" customHeight="1">
      <c r="AA503" s="256"/>
    </row>
    <row r="504" ht="15.75" customHeight="1">
      <c r="AA504" s="256"/>
    </row>
    <row r="505" ht="15.75" customHeight="1">
      <c r="AA505" s="256"/>
    </row>
    <row r="506" ht="15.75" customHeight="1">
      <c r="AA506" s="256"/>
    </row>
    <row r="507" ht="15.75" customHeight="1">
      <c r="AA507" s="256"/>
    </row>
    <row r="508" ht="15.75" customHeight="1">
      <c r="AA508" s="256"/>
    </row>
    <row r="509" ht="15.75" customHeight="1">
      <c r="AA509" s="256"/>
    </row>
    <row r="510" ht="15.75" customHeight="1">
      <c r="AA510" s="256"/>
    </row>
    <row r="511" ht="15.75" customHeight="1">
      <c r="AA511" s="256"/>
    </row>
    <row r="512" ht="15.75" customHeight="1">
      <c r="AA512" s="256"/>
    </row>
    <row r="513" ht="15.75" customHeight="1">
      <c r="AA513" s="256"/>
    </row>
    <row r="514" ht="15.75" customHeight="1">
      <c r="AA514" s="256"/>
    </row>
    <row r="515" ht="15.75" customHeight="1">
      <c r="AA515" s="256"/>
    </row>
    <row r="516" ht="15.75" customHeight="1">
      <c r="AA516" s="256"/>
    </row>
    <row r="517" ht="15.75" customHeight="1">
      <c r="AA517" s="256"/>
    </row>
    <row r="518" ht="15.75" customHeight="1">
      <c r="AA518" s="256"/>
    </row>
    <row r="519" ht="15.75" customHeight="1">
      <c r="AA519" s="256"/>
    </row>
    <row r="520" ht="15.75" customHeight="1">
      <c r="AA520" s="256"/>
    </row>
    <row r="521" ht="15.75" customHeight="1">
      <c r="AA521" s="256"/>
    </row>
    <row r="522" ht="15.75" customHeight="1">
      <c r="AA522" s="256"/>
    </row>
    <row r="523" ht="15.75" customHeight="1">
      <c r="AA523" s="256"/>
    </row>
    <row r="524" ht="15.75" customHeight="1">
      <c r="AA524" s="256"/>
    </row>
    <row r="525" ht="15.75" customHeight="1">
      <c r="AA525" s="256"/>
    </row>
    <row r="526" ht="15.75" customHeight="1">
      <c r="AA526" s="256"/>
    </row>
    <row r="527" ht="15.75" customHeight="1">
      <c r="AA527" s="256"/>
    </row>
    <row r="528" ht="15.75" customHeight="1">
      <c r="AA528" s="256"/>
    </row>
    <row r="529" ht="15.75" customHeight="1">
      <c r="AA529" s="256"/>
    </row>
    <row r="530" ht="15.75" customHeight="1">
      <c r="AA530" s="256"/>
    </row>
    <row r="531" ht="15.75" customHeight="1">
      <c r="AA531" s="256"/>
    </row>
    <row r="532" ht="15.75" customHeight="1">
      <c r="AA532" s="256"/>
    </row>
    <row r="533" ht="15.75" customHeight="1">
      <c r="AA533" s="256"/>
    </row>
    <row r="534" ht="15.75" customHeight="1">
      <c r="AA534" s="256"/>
    </row>
    <row r="535" ht="15.75" customHeight="1">
      <c r="AA535" s="256"/>
    </row>
    <row r="536" ht="15.75" customHeight="1">
      <c r="AA536" s="256"/>
    </row>
    <row r="537" ht="15.75" customHeight="1">
      <c r="AA537" s="256"/>
    </row>
    <row r="538" ht="15.75" customHeight="1">
      <c r="AA538" s="256"/>
    </row>
    <row r="539" ht="15.75" customHeight="1">
      <c r="AA539" s="256"/>
    </row>
    <row r="540" ht="15.75" customHeight="1">
      <c r="AA540" s="256"/>
    </row>
    <row r="541" ht="15.75" customHeight="1">
      <c r="AA541" s="256"/>
    </row>
    <row r="542" ht="15.75" customHeight="1">
      <c r="AA542" s="256"/>
    </row>
    <row r="543" ht="15.75" customHeight="1">
      <c r="AA543" s="256"/>
    </row>
    <row r="544" ht="15.75" customHeight="1">
      <c r="AA544" s="256"/>
    </row>
    <row r="545" ht="15.75" customHeight="1">
      <c r="AA545" s="256"/>
    </row>
    <row r="546" ht="15.75" customHeight="1">
      <c r="AA546" s="256"/>
    </row>
    <row r="547" ht="15.75" customHeight="1">
      <c r="AA547" s="256"/>
    </row>
    <row r="548" ht="15.75" customHeight="1">
      <c r="AA548" s="256"/>
    </row>
    <row r="549" ht="15.75" customHeight="1">
      <c r="AA549" s="256"/>
    </row>
    <row r="550" ht="15.75" customHeight="1">
      <c r="AA550" s="256"/>
    </row>
    <row r="551" ht="15.75" customHeight="1">
      <c r="AA551" s="256"/>
    </row>
    <row r="552" ht="15.75" customHeight="1">
      <c r="AA552" s="256"/>
    </row>
    <row r="553" ht="15.75" customHeight="1">
      <c r="AA553" s="256"/>
    </row>
    <row r="554" ht="15.75" customHeight="1">
      <c r="AA554" s="256"/>
    </row>
    <row r="555" ht="15.75" customHeight="1">
      <c r="AA555" s="256"/>
    </row>
    <row r="556" ht="15.75" customHeight="1">
      <c r="AA556" s="256"/>
    </row>
    <row r="557" ht="15.75" customHeight="1">
      <c r="AA557" s="256"/>
    </row>
    <row r="558" ht="15.75" customHeight="1">
      <c r="AA558" s="256"/>
    </row>
    <row r="559" ht="15.75" customHeight="1">
      <c r="AA559" s="256"/>
    </row>
    <row r="560" ht="15.75" customHeight="1">
      <c r="AA560" s="256"/>
    </row>
    <row r="561" ht="15.75" customHeight="1">
      <c r="AA561" s="256"/>
    </row>
    <row r="562" ht="15.75" customHeight="1">
      <c r="AA562" s="256"/>
    </row>
    <row r="563" ht="15.75" customHeight="1">
      <c r="AA563" s="256"/>
    </row>
    <row r="564" ht="15.75" customHeight="1">
      <c r="AA564" s="256"/>
    </row>
    <row r="565" ht="15.75" customHeight="1">
      <c r="AA565" s="256"/>
    </row>
    <row r="566" ht="15.75" customHeight="1">
      <c r="AA566" s="256"/>
    </row>
    <row r="567" ht="15.75" customHeight="1">
      <c r="AA567" s="256"/>
    </row>
    <row r="568" ht="15.75" customHeight="1">
      <c r="AA568" s="256"/>
    </row>
    <row r="569" ht="15.75" customHeight="1">
      <c r="AA569" s="256"/>
    </row>
    <row r="570" ht="15.75" customHeight="1">
      <c r="AA570" s="256"/>
    </row>
    <row r="571" ht="15.75" customHeight="1">
      <c r="AA571" s="256"/>
    </row>
    <row r="572" ht="15.75" customHeight="1">
      <c r="AA572" s="256"/>
    </row>
    <row r="573" ht="15.75" customHeight="1">
      <c r="AA573" s="256"/>
    </row>
    <row r="574" ht="15.75" customHeight="1">
      <c r="AA574" s="256"/>
    </row>
    <row r="575" ht="15.75" customHeight="1">
      <c r="AA575" s="256"/>
    </row>
    <row r="576" ht="15.75" customHeight="1">
      <c r="AA576" s="256"/>
    </row>
    <row r="577" ht="15.75" customHeight="1">
      <c r="AA577" s="256"/>
    </row>
    <row r="578" ht="15.75" customHeight="1">
      <c r="AA578" s="256"/>
    </row>
    <row r="579" ht="15.75" customHeight="1">
      <c r="AA579" s="256"/>
    </row>
    <row r="580" ht="15.75" customHeight="1">
      <c r="AA580" s="256"/>
    </row>
    <row r="581" ht="15.75" customHeight="1">
      <c r="AA581" s="256"/>
    </row>
    <row r="582" ht="15.75" customHeight="1">
      <c r="AA582" s="256"/>
    </row>
    <row r="583" ht="15.75" customHeight="1">
      <c r="AA583" s="256"/>
    </row>
    <row r="584" ht="15.75" customHeight="1">
      <c r="AA584" s="256"/>
    </row>
    <row r="585" ht="15.75" customHeight="1">
      <c r="AA585" s="256"/>
    </row>
    <row r="586" ht="15.75" customHeight="1">
      <c r="AA586" s="256"/>
    </row>
    <row r="587" ht="15.75" customHeight="1">
      <c r="AA587" s="256"/>
    </row>
    <row r="588" ht="15.75" customHeight="1">
      <c r="AA588" s="256"/>
    </row>
    <row r="589" ht="15.75" customHeight="1">
      <c r="AA589" s="256"/>
    </row>
    <row r="590" ht="15.75" customHeight="1">
      <c r="AA590" s="256"/>
    </row>
    <row r="591" ht="15.75" customHeight="1">
      <c r="AA591" s="256"/>
    </row>
    <row r="592" ht="15.75" customHeight="1">
      <c r="AA592" s="256"/>
    </row>
    <row r="593" ht="15.75" customHeight="1">
      <c r="AA593" s="256"/>
    </row>
    <row r="594" ht="15.75" customHeight="1">
      <c r="AA594" s="256"/>
    </row>
    <row r="595" ht="15.75" customHeight="1">
      <c r="AA595" s="256"/>
    </row>
    <row r="596" ht="15.75" customHeight="1">
      <c r="AA596" s="256"/>
    </row>
    <row r="597" ht="15.75" customHeight="1">
      <c r="AA597" s="256"/>
    </row>
    <row r="598" ht="15.75" customHeight="1">
      <c r="AA598" s="256"/>
    </row>
    <row r="599" ht="15.75" customHeight="1">
      <c r="AA599" s="256"/>
    </row>
    <row r="600" ht="15.75" customHeight="1">
      <c r="AA600" s="256"/>
    </row>
    <row r="601" ht="15.75" customHeight="1">
      <c r="AA601" s="256"/>
    </row>
    <row r="602" ht="15.75" customHeight="1">
      <c r="AA602" s="256"/>
    </row>
    <row r="603" ht="15.75" customHeight="1">
      <c r="AA603" s="256"/>
    </row>
    <row r="604" ht="15.75" customHeight="1">
      <c r="AA604" s="256"/>
    </row>
    <row r="605" ht="15.75" customHeight="1">
      <c r="AA605" s="256"/>
    </row>
    <row r="606" ht="15.75" customHeight="1">
      <c r="AA606" s="256"/>
    </row>
    <row r="607" ht="15.75" customHeight="1">
      <c r="AA607" s="256"/>
    </row>
    <row r="608" ht="15.75" customHeight="1">
      <c r="AA608" s="256"/>
    </row>
    <row r="609" ht="15.75" customHeight="1">
      <c r="AA609" s="256"/>
    </row>
    <row r="610" ht="15.75" customHeight="1">
      <c r="AA610" s="256"/>
    </row>
    <row r="611" ht="15.75" customHeight="1">
      <c r="AA611" s="256"/>
    </row>
    <row r="612" ht="15.75" customHeight="1">
      <c r="AA612" s="256"/>
    </row>
    <row r="613" ht="15.75" customHeight="1">
      <c r="AA613" s="256"/>
    </row>
    <row r="614" ht="15.75" customHeight="1">
      <c r="AA614" s="256"/>
    </row>
    <row r="615" ht="15.75" customHeight="1">
      <c r="AA615" s="256"/>
    </row>
    <row r="616" ht="15.75" customHeight="1">
      <c r="AA616" s="256"/>
    </row>
    <row r="617" ht="15.75" customHeight="1">
      <c r="AA617" s="256"/>
    </row>
    <row r="618" ht="15.75" customHeight="1">
      <c r="AA618" s="256"/>
    </row>
    <row r="619" ht="15.75" customHeight="1">
      <c r="AA619" s="256"/>
    </row>
    <row r="620" ht="15.75" customHeight="1">
      <c r="AA620" s="256"/>
    </row>
    <row r="621" ht="15.75" customHeight="1">
      <c r="AA621" s="256"/>
    </row>
    <row r="622" ht="15.75" customHeight="1">
      <c r="AA622" s="256"/>
    </row>
    <row r="623" ht="15.75" customHeight="1">
      <c r="AA623" s="256"/>
    </row>
    <row r="624" ht="15.75" customHeight="1">
      <c r="AA624" s="256"/>
    </row>
    <row r="625" ht="15.75" customHeight="1">
      <c r="AA625" s="256"/>
    </row>
    <row r="626" ht="15.75" customHeight="1">
      <c r="AA626" s="256"/>
    </row>
    <row r="627" ht="15.75" customHeight="1">
      <c r="AA627" s="256"/>
    </row>
    <row r="628" ht="15.75" customHeight="1">
      <c r="AA628" s="256"/>
    </row>
    <row r="629" ht="15.75" customHeight="1">
      <c r="AA629" s="256"/>
    </row>
    <row r="630" ht="15.75" customHeight="1">
      <c r="AA630" s="256"/>
    </row>
    <row r="631" ht="15.75" customHeight="1">
      <c r="AA631" s="256"/>
    </row>
    <row r="632" ht="15.75" customHeight="1">
      <c r="AA632" s="256"/>
    </row>
    <row r="633" ht="15.75" customHeight="1">
      <c r="AA633" s="256"/>
    </row>
    <row r="634" ht="15.75" customHeight="1">
      <c r="AA634" s="256"/>
    </row>
    <row r="635" ht="15.75" customHeight="1">
      <c r="AA635" s="256"/>
    </row>
    <row r="636" ht="15.75" customHeight="1">
      <c r="AA636" s="256"/>
    </row>
    <row r="637" ht="15.75" customHeight="1">
      <c r="AA637" s="256"/>
    </row>
    <row r="638" ht="15.75" customHeight="1">
      <c r="AA638" s="256"/>
    </row>
    <row r="639" ht="15.75" customHeight="1">
      <c r="AA639" s="256"/>
    </row>
    <row r="640" ht="15.75" customHeight="1">
      <c r="AA640" s="256"/>
    </row>
    <row r="641" ht="15.75" customHeight="1">
      <c r="AA641" s="256"/>
    </row>
    <row r="642" ht="15.75" customHeight="1">
      <c r="AA642" s="256"/>
    </row>
    <row r="643" ht="15.75" customHeight="1">
      <c r="AA643" s="256"/>
    </row>
    <row r="644" ht="15.75" customHeight="1">
      <c r="AA644" s="256"/>
    </row>
    <row r="645" ht="15.75" customHeight="1">
      <c r="AA645" s="256"/>
    </row>
    <row r="646" ht="15.75" customHeight="1">
      <c r="AA646" s="256"/>
    </row>
    <row r="647" ht="15.75" customHeight="1">
      <c r="AA647" s="256"/>
    </row>
    <row r="648" ht="15.75" customHeight="1">
      <c r="AA648" s="256"/>
    </row>
    <row r="649" ht="15.75" customHeight="1">
      <c r="AA649" s="256"/>
    </row>
    <row r="650" ht="15.75" customHeight="1">
      <c r="AA650" s="256"/>
    </row>
    <row r="651" ht="15.75" customHeight="1">
      <c r="AA651" s="256"/>
    </row>
    <row r="652" ht="15.75" customHeight="1">
      <c r="AA652" s="256"/>
    </row>
    <row r="653" ht="15.75" customHeight="1">
      <c r="AA653" s="256"/>
    </row>
    <row r="654" ht="15.75" customHeight="1">
      <c r="AA654" s="256"/>
    </row>
    <row r="655" ht="15.75" customHeight="1">
      <c r="AA655" s="256"/>
    </row>
    <row r="656" ht="15.75" customHeight="1">
      <c r="AA656" s="256"/>
    </row>
    <row r="657" ht="15.75" customHeight="1">
      <c r="AA657" s="256"/>
    </row>
    <row r="658" ht="15.75" customHeight="1">
      <c r="AA658" s="256"/>
    </row>
    <row r="659" ht="15.75" customHeight="1">
      <c r="AA659" s="256"/>
    </row>
    <row r="660" ht="15.75" customHeight="1">
      <c r="AA660" s="256"/>
    </row>
    <row r="661" ht="15.75" customHeight="1">
      <c r="AA661" s="256"/>
    </row>
    <row r="662" ht="15.75" customHeight="1">
      <c r="AA662" s="256"/>
    </row>
    <row r="663" ht="15.75" customHeight="1">
      <c r="AA663" s="256"/>
    </row>
    <row r="664" ht="15.75" customHeight="1">
      <c r="AA664" s="256"/>
    </row>
    <row r="665" ht="15.75" customHeight="1">
      <c r="AA665" s="256"/>
    </row>
    <row r="666" ht="15.75" customHeight="1">
      <c r="AA666" s="256"/>
    </row>
    <row r="667" ht="15.75" customHeight="1">
      <c r="AA667" s="256"/>
    </row>
    <row r="668" ht="15.75" customHeight="1">
      <c r="AA668" s="256"/>
    </row>
    <row r="669" ht="15.75" customHeight="1">
      <c r="AA669" s="256"/>
    </row>
    <row r="670" ht="15.75" customHeight="1">
      <c r="AA670" s="256"/>
    </row>
    <row r="671" ht="15.75" customHeight="1">
      <c r="AA671" s="256"/>
    </row>
    <row r="672" ht="15.75" customHeight="1">
      <c r="AA672" s="256"/>
    </row>
    <row r="673" ht="15.75" customHeight="1">
      <c r="AA673" s="256"/>
    </row>
    <row r="674" ht="15.75" customHeight="1">
      <c r="AA674" s="256"/>
    </row>
    <row r="675" ht="15.75" customHeight="1">
      <c r="AA675" s="256"/>
    </row>
    <row r="676" ht="15.75" customHeight="1">
      <c r="AA676" s="256"/>
    </row>
    <row r="677" ht="15.75" customHeight="1">
      <c r="AA677" s="256"/>
    </row>
    <row r="678" ht="15.75" customHeight="1">
      <c r="AA678" s="256"/>
    </row>
    <row r="679" ht="15.75" customHeight="1">
      <c r="AA679" s="256"/>
    </row>
    <row r="680" ht="15.75" customHeight="1">
      <c r="AA680" s="256"/>
    </row>
    <row r="681" ht="15.75" customHeight="1">
      <c r="AA681" s="256"/>
    </row>
    <row r="682" ht="15.75" customHeight="1">
      <c r="AA682" s="256"/>
    </row>
    <row r="683" ht="15.75" customHeight="1">
      <c r="AA683" s="256"/>
    </row>
    <row r="684" ht="15.75" customHeight="1">
      <c r="AA684" s="256"/>
    </row>
    <row r="685" ht="15.75" customHeight="1">
      <c r="AA685" s="256"/>
    </row>
    <row r="686" ht="15.75" customHeight="1">
      <c r="AA686" s="256"/>
    </row>
    <row r="687" ht="15.75" customHeight="1">
      <c r="AA687" s="256"/>
    </row>
    <row r="688" ht="15.75" customHeight="1">
      <c r="AA688" s="256"/>
    </row>
    <row r="689" ht="15.75" customHeight="1">
      <c r="AA689" s="256"/>
    </row>
    <row r="690" ht="15.75" customHeight="1">
      <c r="AA690" s="256"/>
    </row>
    <row r="691" ht="15.75" customHeight="1">
      <c r="AA691" s="256"/>
    </row>
    <row r="692" ht="15.75" customHeight="1">
      <c r="AA692" s="256"/>
    </row>
    <row r="693" ht="15.75" customHeight="1">
      <c r="AA693" s="256"/>
    </row>
    <row r="694" ht="15.75" customHeight="1">
      <c r="AA694" s="256"/>
    </row>
    <row r="695" ht="15.75" customHeight="1">
      <c r="AA695" s="256"/>
    </row>
    <row r="696" ht="15.75" customHeight="1">
      <c r="AA696" s="256"/>
    </row>
    <row r="697" ht="15.75" customHeight="1">
      <c r="AA697" s="256"/>
    </row>
    <row r="698" ht="15.75" customHeight="1">
      <c r="AA698" s="256"/>
    </row>
    <row r="699" ht="15.75" customHeight="1">
      <c r="AA699" s="256"/>
    </row>
    <row r="700" ht="15.75" customHeight="1">
      <c r="AA700" s="256"/>
    </row>
    <row r="701" ht="15.75" customHeight="1">
      <c r="AA701" s="256"/>
    </row>
    <row r="702" ht="15.75" customHeight="1">
      <c r="AA702" s="256"/>
    </row>
    <row r="703" ht="15.75" customHeight="1">
      <c r="AA703" s="256"/>
    </row>
    <row r="704" ht="15.75" customHeight="1">
      <c r="AA704" s="256"/>
    </row>
    <row r="705" ht="15.75" customHeight="1">
      <c r="AA705" s="256"/>
    </row>
    <row r="706" ht="15.75" customHeight="1">
      <c r="AA706" s="256"/>
    </row>
    <row r="707" ht="15.75" customHeight="1">
      <c r="AA707" s="256"/>
    </row>
    <row r="708" ht="15.75" customHeight="1">
      <c r="AA708" s="256"/>
    </row>
    <row r="709" ht="15.75" customHeight="1">
      <c r="AA709" s="256"/>
    </row>
    <row r="710" ht="15.75" customHeight="1">
      <c r="AA710" s="256"/>
    </row>
    <row r="711" ht="15.75" customHeight="1">
      <c r="AA711" s="256"/>
    </row>
    <row r="712" ht="15.75" customHeight="1">
      <c r="AA712" s="256"/>
    </row>
    <row r="713" ht="15.75" customHeight="1">
      <c r="AA713" s="256"/>
    </row>
    <row r="714" ht="15.75" customHeight="1">
      <c r="AA714" s="256"/>
    </row>
    <row r="715" ht="15.75" customHeight="1">
      <c r="AA715" s="256"/>
    </row>
    <row r="716" ht="15.75" customHeight="1">
      <c r="AA716" s="256"/>
    </row>
    <row r="717" ht="15.75" customHeight="1">
      <c r="AA717" s="256"/>
    </row>
    <row r="718" ht="15.75" customHeight="1">
      <c r="AA718" s="256"/>
    </row>
    <row r="719" ht="15.75" customHeight="1">
      <c r="AA719" s="256"/>
    </row>
    <row r="720" ht="15.75" customHeight="1">
      <c r="AA720" s="256"/>
    </row>
    <row r="721" ht="15.75" customHeight="1">
      <c r="AA721" s="256"/>
    </row>
    <row r="722" ht="15.75" customHeight="1">
      <c r="AA722" s="256"/>
    </row>
    <row r="723" ht="15.75" customHeight="1">
      <c r="AA723" s="256"/>
    </row>
    <row r="724" ht="15.75" customHeight="1">
      <c r="AA724" s="256"/>
    </row>
    <row r="725" ht="15.75" customHeight="1">
      <c r="AA725" s="256"/>
    </row>
    <row r="726" ht="15.75" customHeight="1">
      <c r="AA726" s="256"/>
    </row>
    <row r="727" ht="15.75" customHeight="1">
      <c r="AA727" s="256"/>
    </row>
    <row r="728" ht="15.75" customHeight="1">
      <c r="AA728" s="256"/>
    </row>
    <row r="729" ht="15.75" customHeight="1">
      <c r="AA729" s="256"/>
    </row>
    <row r="730" ht="15.75" customHeight="1">
      <c r="AA730" s="256"/>
    </row>
    <row r="731" ht="15.75" customHeight="1">
      <c r="AA731" s="256"/>
    </row>
    <row r="732" ht="15.75" customHeight="1">
      <c r="AA732" s="256"/>
    </row>
    <row r="733" ht="15.75" customHeight="1">
      <c r="AA733" s="256"/>
    </row>
    <row r="734" ht="15.75" customHeight="1">
      <c r="AA734" s="256"/>
    </row>
    <row r="735" ht="15.75" customHeight="1">
      <c r="AA735" s="256"/>
    </row>
    <row r="736" ht="15.75" customHeight="1">
      <c r="AA736" s="256"/>
    </row>
    <row r="737" ht="15.75" customHeight="1">
      <c r="AA737" s="256"/>
    </row>
    <row r="738" ht="15.75" customHeight="1">
      <c r="AA738" s="256"/>
    </row>
    <row r="739" ht="15.75" customHeight="1">
      <c r="AA739" s="256"/>
    </row>
    <row r="740" ht="15.75" customHeight="1">
      <c r="AA740" s="256"/>
    </row>
    <row r="741" ht="15.75" customHeight="1">
      <c r="AA741" s="256"/>
    </row>
    <row r="742" ht="15.75" customHeight="1">
      <c r="AA742" s="256"/>
    </row>
    <row r="743" ht="15.75" customHeight="1">
      <c r="AA743" s="256"/>
    </row>
    <row r="744" ht="15.75" customHeight="1">
      <c r="AA744" s="256"/>
    </row>
    <row r="745" ht="15.75" customHeight="1">
      <c r="AA745" s="256"/>
    </row>
    <row r="746" ht="15.75" customHeight="1">
      <c r="AA746" s="256"/>
    </row>
    <row r="747" ht="15.75" customHeight="1">
      <c r="AA747" s="256"/>
    </row>
    <row r="748" ht="15.75" customHeight="1">
      <c r="AA748" s="256"/>
    </row>
    <row r="749" ht="15.75" customHeight="1">
      <c r="AA749" s="256"/>
    </row>
    <row r="750" ht="15.75" customHeight="1">
      <c r="AA750" s="256"/>
    </row>
    <row r="751" ht="15.75" customHeight="1">
      <c r="AA751" s="256"/>
    </row>
    <row r="752" ht="15.75" customHeight="1">
      <c r="AA752" s="256"/>
    </row>
    <row r="753" ht="15.75" customHeight="1">
      <c r="AA753" s="256"/>
    </row>
    <row r="754" ht="15.75" customHeight="1">
      <c r="AA754" s="256"/>
    </row>
    <row r="755" ht="15.75" customHeight="1">
      <c r="AA755" s="256"/>
    </row>
    <row r="756" ht="15.75" customHeight="1">
      <c r="AA756" s="256"/>
    </row>
    <row r="757" ht="15.75" customHeight="1">
      <c r="AA757" s="256"/>
    </row>
    <row r="758" ht="15.75" customHeight="1">
      <c r="AA758" s="256"/>
    </row>
    <row r="759" ht="15.75" customHeight="1">
      <c r="AA759" s="256"/>
    </row>
    <row r="760" ht="15.75" customHeight="1">
      <c r="AA760" s="256"/>
    </row>
    <row r="761" ht="15.75" customHeight="1">
      <c r="AA761" s="256"/>
    </row>
    <row r="762" ht="15.75" customHeight="1">
      <c r="AA762" s="256"/>
    </row>
    <row r="763" ht="15.75" customHeight="1">
      <c r="AA763" s="256"/>
    </row>
    <row r="764" ht="15.75" customHeight="1">
      <c r="AA764" s="256"/>
    </row>
    <row r="765" ht="15.75" customHeight="1">
      <c r="AA765" s="256"/>
    </row>
    <row r="766" ht="15.75" customHeight="1">
      <c r="AA766" s="256"/>
    </row>
    <row r="767" ht="15.75" customHeight="1">
      <c r="AA767" s="256"/>
    </row>
    <row r="768" ht="15.75" customHeight="1">
      <c r="AA768" s="256"/>
    </row>
    <row r="769" ht="15.75" customHeight="1">
      <c r="AA769" s="256"/>
    </row>
    <row r="770" ht="15.75" customHeight="1">
      <c r="AA770" s="256"/>
    </row>
    <row r="771" ht="15.75" customHeight="1">
      <c r="AA771" s="256"/>
    </row>
    <row r="772" ht="15.75" customHeight="1">
      <c r="AA772" s="256"/>
    </row>
    <row r="773" ht="15.75" customHeight="1">
      <c r="AA773" s="256"/>
    </row>
    <row r="774" ht="15.75" customHeight="1">
      <c r="AA774" s="256"/>
    </row>
    <row r="775" ht="15.75" customHeight="1">
      <c r="AA775" s="256"/>
    </row>
    <row r="776" ht="15.75" customHeight="1">
      <c r="AA776" s="256"/>
    </row>
    <row r="777" ht="15.75" customHeight="1">
      <c r="AA777" s="256"/>
    </row>
    <row r="778" ht="15.75" customHeight="1">
      <c r="AA778" s="256"/>
    </row>
    <row r="779" ht="15.75" customHeight="1">
      <c r="AA779" s="256"/>
    </row>
    <row r="780" ht="15.75" customHeight="1">
      <c r="AA780" s="256"/>
    </row>
    <row r="781" ht="15.75" customHeight="1">
      <c r="AA781" s="256"/>
    </row>
    <row r="782" ht="15.75" customHeight="1">
      <c r="AA782" s="256"/>
    </row>
    <row r="783" ht="15.75" customHeight="1">
      <c r="AA783" s="256"/>
    </row>
    <row r="784" ht="15.75" customHeight="1">
      <c r="AA784" s="256"/>
    </row>
    <row r="785" ht="15.75" customHeight="1">
      <c r="AA785" s="256"/>
    </row>
    <row r="786" ht="15.75" customHeight="1">
      <c r="AA786" s="256"/>
    </row>
    <row r="787" ht="15.75" customHeight="1">
      <c r="AA787" s="256"/>
    </row>
    <row r="788" ht="15.75" customHeight="1">
      <c r="AA788" s="256"/>
    </row>
    <row r="789" ht="15.75" customHeight="1">
      <c r="AA789" s="256"/>
    </row>
    <row r="790" ht="15.75" customHeight="1">
      <c r="AA790" s="256"/>
    </row>
    <row r="791" ht="15.75" customHeight="1">
      <c r="AA791" s="256"/>
    </row>
    <row r="792" ht="15.75" customHeight="1">
      <c r="AA792" s="256"/>
    </row>
    <row r="793" ht="15.75" customHeight="1">
      <c r="AA793" s="256"/>
    </row>
    <row r="794" ht="15.75" customHeight="1">
      <c r="AA794" s="256"/>
    </row>
    <row r="795" ht="15.75" customHeight="1">
      <c r="AA795" s="256"/>
    </row>
    <row r="796" ht="15.75" customHeight="1">
      <c r="AA796" s="256"/>
    </row>
    <row r="797" ht="15.75" customHeight="1">
      <c r="AA797" s="256"/>
    </row>
    <row r="798" ht="15.75" customHeight="1">
      <c r="AA798" s="256"/>
    </row>
    <row r="799" ht="15.75" customHeight="1">
      <c r="AA799" s="256"/>
    </row>
    <row r="800" ht="15.75" customHeight="1">
      <c r="AA800" s="256"/>
    </row>
    <row r="801" ht="15.75" customHeight="1">
      <c r="AA801" s="256"/>
    </row>
    <row r="802" ht="15.75" customHeight="1">
      <c r="AA802" s="256"/>
    </row>
    <row r="803" ht="15.75" customHeight="1">
      <c r="AA803" s="256"/>
    </row>
    <row r="804" ht="15.75" customHeight="1">
      <c r="AA804" s="256"/>
    </row>
    <row r="805" ht="15.75" customHeight="1">
      <c r="AA805" s="256"/>
    </row>
    <row r="806" ht="15.75" customHeight="1">
      <c r="AA806" s="256"/>
    </row>
    <row r="807" ht="15.75" customHeight="1">
      <c r="AA807" s="256"/>
    </row>
    <row r="808" ht="15.75" customHeight="1">
      <c r="AA808" s="256"/>
    </row>
    <row r="809" ht="15.75" customHeight="1">
      <c r="AA809" s="256"/>
    </row>
    <row r="810" ht="15.75" customHeight="1">
      <c r="AA810" s="256"/>
    </row>
    <row r="811" ht="15.75" customHeight="1">
      <c r="AA811" s="256"/>
    </row>
    <row r="812" ht="15.75" customHeight="1">
      <c r="AA812" s="256"/>
    </row>
    <row r="813" ht="15.75" customHeight="1">
      <c r="AA813" s="256"/>
    </row>
    <row r="814" ht="15.75" customHeight="1">
      <c r="AA814" s="256"/>
    </row>
    <row r="815" ht="15.75" customHeight="1">
      <c r="AA815" s="256"/>
    </row>
    <row r="816" ht="15.75" customHeight="1">
      <c r="AA816" s="256"/>
    </row>
    <row r="817" ht="15.75" customHeight="1">
      <c r="AA817" s="256"/>
    </row>
    <row r="818" ht="15.75" customHeight="1">
      <c r="AA818" s="256"/>
    </row>
    <row r="819" ht="15.75" customHeight="1">
      <c r="AA819" s="256"/>
    </row>
    <row r="820" ht="15.75" customHeight="1">
      <c r="AA820" s="256"/>
    </row>
    <row r="821" ht="15.75" customHeight="1">
      <c r="AA821" s="256"/>
    </row>
    <row r="822" ht="15.75" customHeight="1">
      <c r="AA822" s="256"/>
    </row>
    <row r="823" ht="15.75" customHeight="1">
      <c r="AA823" s="256"/>
    </row>
    <row r="824" ht="15.75" customHeight="1">
      <c r="AA824" s="256"/>
    </row>
    <row r="825" ht="15.75" customHeight="1">
      <c r="AA825" s="256"/>
    </row>
    <row r="826" ht="15.75" customHeight="1">
      <c r="AA826" s="256"/>
    </row>
    <row r="827" ht="15.75" customHeight="1">
      <c r="AA827" s="256"/>
    </row>
    <row r="828" ht="15.75" customHeight="1">
      <c r="AA828" s="256"/>
    </row>
    <row r="829" ht="15.75" customHeight="1">
      <c r="AA829" s="256"/>
    </row>
    <row r="830" ht="15.75" customHeight="1">
      <c r="AA830" s="256"/>
    </row>
    <row r="831" ht="15.75" customHeight="1">
      <c r="AA831" s="256"/>
    </row>
    <row r="832" ht="15.75" customHeight="1">
      <c r="AA832" s="256"/>
    </row>
    <row r="833" ht="15.75" customHeight="1">
      <c r="AA833" s="256"/>
    </row>
    <row r="834" ht="15.75" customHeight="1">
      <c r="AA834" s="256"/>
    </row>
    <row r="835" ht="15.75" customHeight="1">
      <c r="AA835" s="256"/>
    </row>
    <row r="836" ht="15.75" customHeight="1">
      <c r="AA836" s="256"/>
    </row>
    <row r="837" ht="15.75" customHeight="1">
      <c r="AA837" s="256"/>
    </row>
    <row r="838" ht="15.75" customHeight="1">
      <c r="AA838" s="256"/>
    </row>
    <row r="839" ht="15.75" customHeight="1">
      <c r="AA839" s="256"/>
    </row>
    <row r="840" ht="15.75" customHeight="1">
      <c r="AA840" s="256"/>
    </row>
    <row r="841" ht="15.75" customHeight="1">
      <c r="AA841" s="256"/>
    </row>
    <row r="842" ht="15.75" customHeight="1">
      <c r="AA842" s="256"/>
    </row>
    <row r="843" ht="15.75" customHeight="1">
      <c r="AA843" s="256"/>
    </row>
    <row r="844" ht="15.75" customHeight="1">
      <c r="AA844" s="256"/>
    </row>
    <row r="845" ht="15.75" customHeight="1">
      <c r="AA845" s="256"/>
    </row>
    <row r="846" ht="15.75" customHeight="1">
      <c r="AA846" s="256"/>
    </row>
    <row r="847" ht="15.75" customHeight="1">
      <c r="AA847" s="256"/>
    </row>
    <row r="848" ht="15.75" customHeight="1">
      <c r="AA848" s="256"/>
    </row>
    <row r="849" ht="15.75" customHeight="1">
      <c r="AA849" s="256"/>
    </row>
    <row r="850" ht="15.75" customHeight="1">
      <c r="AA850" s="256"/>
    </row>
    <row r="851" ht="15.75" customHeight="1">
      <c r="AA851" s="256"/>
    </row>
    <row r="852" ht="15.75" customHeight="1">
      <c r="AA852" s="256"/>
    </row>
    <row r="853" ht="15.75" customHeight="1">
      <c r="AA853" s="256"/>
    </row>
    <row r="854" ht="15.75" customHeight="1">
      <c r="AA854" s="256"/>
    </row>
    <row r="855" ht="15.75" customHeight="1">
      <c r="AA855" s="256"/>
    </row>
    <row r="856" ht="15.75" customHeight="1">
      <c r="AA856" s="256"/>
    </row>
    <row r="857" ht="15.75" customHeight="1">
      <c r="AA857" s="256"/>
    </row>
    <row r="858" ht="15.75" customHeight="1">
      <c r="AA858" s="256"/>
    </row>
    <row r="859" ht="15.75" customHeight="1">
      <c r="AA859" s="256"/>
    </row>
    <row r="860" ht="15.75" customHeight="1">
      <c r="AA860" s="256"/>
    </row>
    <row r="861" ht="15.75" customHeight="1">
      <c r="AA861" s="256"/>
    </row>
    <row r="862" ht="15.75" customHeight="1">
      <c r="AA862" s="256"/>
    </row>
    <row r="863" ht="15.75" customHeight="1">
      <c r="AA863" s="256"/>
    </row>
    <row r="864" ht="15.75" customHeight="1">
      <c r="AA864" s="256"/>
    </row>
    <row r="865" ht="15.75" customHeight="1">
      <c r="AA865" s="256"/>
    </row>
    <row r="866" ht="15.75" customHeight="1">
      <c r="AA866" s="256"/>
    </row>
    <row r="867" ht="15.75" customHeight="1">
      <c r="AA867" s="256"/>
    </row>
    <row r="868" ht="15.75" customHeight="1">
      <c r="AA868" s="256"/>
    </row>
    <row r="869" ht="15.75" customHeight="1">
      <c r="AA869" s="256"/>
    </row>
    <row r="870" ht="15.75" customHeight="1">
      <c r="AA870" s="256"/>
    </row>
    <row r="871" ht="15.75" customHeight="1">
      <c r="AA871" s="256"/>
    </row>
    <row r="872" ht="15.75" customHeight="1">
      <c r="AA872" s="256"/>
    </row>
    <row r="873" ht="15.75" customHeight="1">
      <c r="AA873" s="256"/>
    </row>
    <row r="874" ht="15.75" customHeight="1">
      <c r="AA874" s="256"/>
    </row>
    <row r="875" ht="15.75" customHeight="1">
      <c r="AA875" s="256"/>
    </row>
    <row r="876" ht="15.75" customHeight="1">
      <c r="AA876" s="256"/>
    </row>
    <row r="877" ht="15.75" customHeight="1">
      <c r="AA877" s="256"/>
    </row>
    <row r="878" ht="15.75" customHeight="1">
      <c r="AA878" s="256"/>
    </row>
    <row r="879" ht="15.75" customHeight="1">
      <c r="AA879" s="256"/>
    </row>
    <row r="880" ht="15.75" customHeight="1">
      <c r="AA880" s="256"/>
    </row>
    <row r="881" ht="15.75" customHeight="1">
      <c r="AA881" s="256"/>
    </row>
    <row r="882" ht="15.75" customHeight="1">
      <c r="AA882" s="256"/>
    </row>
    <row r="883" ht="15.75" customHeight="1">
      <c r="AA883" s="256"/>
    </row>
    <row r="884" ht="15.75" customHeight="1">
      <c r="AA884" s="256"/>
    </row>
    <row r="885" ht="15.75" customHeight="1">
      <c r="AA885" s="256"/>
    </row>
    <row r="886" ht="15.75" customHeight="1">
      <c r="AA886" s="256"/>
    </row>
    <row r="887" ht="15.75" customHeight="1">
      <c r="AA887" s="256"/>
    </row>
    <row r="888" ht="15.75" customHeight="1">
      <c r="AA888" s="256"/>
    </row>
    <row r="889" ht="15.75" customHeight="1">
      <c r="AA889" s="256"/>
    </row>
    <row r="890" ht="15.75" customHeight="1">
      <c r="AA890" s="256"/>
    </row>
    <row r="891" ht="15.75" customHeight="1">
      <c r="AA891" s="256"/>
    </row>
    <row r="892" ht="15.75" customHeight="1">
      <c r="AA892" s="256"/>
    </row>
    <row r="893" ht="15.75" customHeight="1">
      <c r="AA893" s="256"/>
    </row>
    <row r="894" ht="15.75" customHeight="1">
      <c r="AA894" s="256"/>
    </row>
    <row r="895" ht="15.75" customHeight="1">
      <c r="AA895" s="256"/>
    </row>
    <row r="896" ht="15.75" customHeight="1">
      <c r="AA896" s="256"/>
    </row>
    <row r="897" ht="15.75" customHeight="1">
      <c r="AA897" s="256"/>
    </row>
    <row r="898" ht="15.75" customHeight="1">
      <c r="AA898" s="256"/>
    </row>
    <row r="899" ht="15.75" customHeight="1">
      <c r="AA899" s="256"/>
    </row>
    <row r="900" ht="15.75" customHeight="1">
      <c r="AA900" s="256"/>
    </row>
    <row r="901" ht="15.75" customHeight="1">
      <c r="AA901" s="256"/>
    </row>
    <row r="902" ht="15.75" customHeight="1">
      <c r="AA902" s="256"/>
    </row>
    <row r="903" ht="15.75" customHeight="1">
      <c r="AA903" s="256"/>
    </row>
    <row r="904" ht="15.75" customHeight="1">
      <c r="AA904" s="256"/>
    </row>
    <row r="905" ht="15.75" customHeight="1">
      <c r="AA905" s="256"/>
    </row>
    <row r="906" ht="15.75" customHeight="1">
      <c r="AA906" s="256"/>
    </row>
    <row r="907" ht="15.75" customHeight="1">
      <c r="AA907" s="256"/>
    </row>
    <row r="908" ht="15.75" customHeight="1">
      <c r="AA908" s="256"/>
    </row>
    <row r="909" ht="15.75" customHeight="1">
      <c r="AA909" s="256"/>
    </row>
    <row r="910" ht="15.75" customHeight="1">
      <c r="AA910" s="256"/>
    </row>
    <row r="911" ht="15.75" customHeight="1">
      <c r="AA911" s="256"/>
    </row>
    <row r="912" ht="15.75" customHeight="1">
      <c r="AA912" s="256"/>
    </row>
    <row r="913" ht="15.75" customHeight="1">
      <c r="AA913" s="256"/>
    </row>
    <row r="914" ht="15.75" customHeight="1">
      <c r="AA914" s="256"/>
    </row>
    <row r="915" ht="15.75" customHeight="1">
      <c r="AA915" s="256"/>
    </row>
    <row r="916" ht="15.75" customHeight="1">
      <c r="AA916" s="256"/>
    </row>
    <row r="917" ht="15.75" customHeight="1">
      <c r="AA917" s="256"/>
    </row>
    <row r="918" ht="15.75" customHeight="1">
      <c r="AA918" s="256"/>
    </row>
    <row r="919" ht="15.75" customHeight="1">
      <c r="AA919" s="256"/>
    </row>
    <row r="920" ht="15.75" customHeight="1">
      <c r="AA920" s="256"/>
    </row>
    <row r="921" ht="15.75" customHeight="1">
      <c r="AA921" s="256"/>
    </row>
    <row r="922" ht="15.75" customHeight="1">
      <c r="AA922" s="256"/>
    </row>
    <row r="923" ht="15.75" customHeight="1">
      <c r="AA923" s="256"/>
    </row>
    <row r="924" ht="15.75" customHeight="1">
      <c r="AA924" s="256"/>
    </row>
    <row r="925" ht="15.75" customHeight="1">
      <c r="AA925" s="256"/>
    </row>
    <row r="926" ht="15.75" customHeight="1">
      <c r="AA926" s="256"/>
    </row>
    <row r="927" ht="15.75" customHeight="1">
      <c r="AA927" s="256"/>
    </row>
    <row r="928" ht="15.75" customHeight="1">
      <c r="AA928" s="256"/>
    </row>
    <row r="929" ht="15.75" customHeight="1">
      <c r="AA929" s="256"/>
    </row>
    <row r="930" ht="15.75" customHeight="1">
      <c r="AA930" s="256"/>
    </row>
    <row r="931" ht="15.75" customHeight="1">
      <c r="AA931" s="256"/>
    </row>
    <row r="932" ht="15.75" customHeight="1">
      <c r="AA932" s="256"/>
    </row>
    <row r="933" ht="15.75" customHeight="1">
      <c r="AA933" s="256"/>
    </row>
    <row r="934" ht="15.75" customHeight="1">
      <c r="AA934" s="256"/>
    </row>
    <row r="935" ht="15.75" customHeight="1">
      <c r="AA935" s="256"/>
    </row>
    <row r="936" ht="15.75" customHeight="1">
      <c r="AA936" s="256"/>
    </row>
    <row r="937" ht="15.75" customHeight="1">
      <c r="AA937" s="256"/>
    </row>
    <row r="938" ht="15.75" customHeight="1">
      <c r="AA938" s="256"/>
    </row>
    <row r="939" ht="15.75" customHeight="1">
      <c r="AA939" s="256"/>
    </row>
    <row r="940" ht="15.75" customHeight="1">
      <c r="AA940" s="256"/>
    </row>
    <row r="941" ht="15.75" customHeight="1">
      <c r="AA941" s="256"/>
    </row>
    <row r="942" ht="15.75" customHeight="1">
      <c r="AA942" s="256"/>
    </row>
    <row r="943" ht="15.75" customHeight="1">
      <c r="AA943" s="256"/>
    </row>
    <row r="944" ht="15.75" customHeight="1">
      <c r="AA944" s="256"/>
    </row>
    <row r="945" ht="15.75" customHeight="1">
      <c r="AA945" s="256"/>
    </row>
    <row r="946" ht="15.75" customHeight="1">
      <c r="AA946" s="256"/>
    </row>
    <row r="947" ht="15.75" customHeight="1">
      <c r="AA947" s="256"/>
    </row>
    <row r="948" ht="15.75" customHeight="1">
      <c r="AA948" s="256"/>
    </row>
    <row r="949" ht="15.75" customHeight="1">
      <c r="AA949" s="256"/>
    </row>
    <row r="950" ht="15.75" customHeight="1">
      <c r="AA950" s="256"/>
    </row>
    <row r="951" ht="15.75" customHeight="1">
      <c r="AA951" s="256"/>
    </row>
    <row r="952" ht="15.75" customHeight="1">
      <c r="AA952" s="256"/>
    </row>
    <row r="953" ht="15.75" customHeight="1">
      <c r="AA953" s="256"/>
    </row>
    <row r="954" ht="15.75" customHeight="1">
      <c r="AA954" s="256"/>
    </row>
    <row r="955" ht="15.75" customHeight="1">
      <c r="AA955" s="256"/>
    </row>
    <row r="956" ht="15.75" customHeight="1">
      <c r="AA956" s="256"/>
    </row>
    <row r="957" ht="15.75" customHeight="1">
      <c r="AA957" s="256"/>
    </row>
    <row r="958" ht="15.75" customHeight="1">
      <c r="AA958" s="256"/>
    </row>
    <row r="959" ht="15.75" customHeight="1">
      <c r="AA959" s="256"/>
    </row>
    <row r="960" ht="15.75" customHeight="1">
      <c r="AA960" s="256"/>
    </row>
    <row r="961" ht="15.75" customHeight="1">
      <c r="AA961" s="256"/>
    </row>
    <row r="962" ht="15.75" customHeight="1">
      <c r="AA962" s="256"/>
    </row>
    <row r="963" ht="15.75" customHeight="1">
      <c r="AA963" s="256"/>
    </row>
    <row r="964" ht="15.75" customHeight="1">
      <c r="AA964" s="256"/>
    </row>
    <row r="965" ht="15.75" customHeight="1">
      <c r="AA965" s="256"/>
    </row>
    <row r="966" ht="15.75" customHeight="1">
      <c r="AA966" s="256"/>
    </row>
    <row r="967" ht="15.75" customHeight="1">
      <c r="AA967" s="256"/>
    </row>
    <row r="968" ht="15.75" customHeight="1">
      <c r="AA968" s="256"/>
    </row>
    <row r="969" ht="15.75" customHeight="1">
      <c r="AA969" s="256"/>
    </row>
    <row r="970" ht="15.75" customHeight="1">
      <c r="AA970" s="256"/>
    </row>
    <row r="971" ht="15.75" customHeight="1">
      <c r="AA971" s="256"/>
    </row>
    <row r="972" ht="15.75" customHeight="1">
      <c r="AA972" s="256"/>
    </row>
    <row r="973" ht="15.75" customHeight="1">
      <c r="AA973" s="256"/>
    </row>
    <row r="974" ht="15.75" customHeight="1">
      <c r="AA974" s="256"/>
    </row>
    <row r="975" ht="15.75" customHeight="1">
      <c r="AA975" s="256"/>
    </row>
    <row r="976" ht="15.75" customHeight="1">
      <c r="AA976" s="256"/>
    </row>
    <row r="977" ht="15.75" customHeight="1">
      <c r="AA977" s="256"/>
    </row>
    <row r="978" ht="15.75" customHeight="1">
      <c r="AA978" s="256"/>
    </row>
    <row r="979" ht="15.75" customHeight="1">
      <c r="AA979" s="256"/>
    </row>
    <row r="980" ht="15.75" customHeight="1">
      <c r="AA980" s="256"/>
    </row>
    <row r="981" ht="15.75" customHeight="1">
      <c r="AA981" s="256"/>
    </row>
    <row r="982" ht="15.75" customHeight="1">
      <c r="AA982" s="256"/>
    </row>
    <row r="983" ht="15.75" customHeight="1">
      <c r="AA983" s="256"/>
    </row>
    <row r="984" ht="15.75" customHeight="1">
      <c r="AA984" s="256"/>
    </row>
    <row r="985" ht="15.75" customHeight="1">
      <c r="AA985" s="256"/>
    </row>
    <row r="986" ht="15.75" customHeight="1">
      <c r="AA986" s="256"/>
    </row>
    <row r="987" ht="15.75" customHeight="1">
      <c r="AA987" s="256"/>
    </row>
    <row r="988" ht="15.75" customHeight="1">
      <c r="AA988" s="256"/>
    </row>
    <row r="989" ht="15.75" customHeight="1">
      <c r="AA989" s="256"/>
    </row>
    <row r="990" ht="15.75" customHeight="1">
      <c r="AA990" s="256"/>
    </row>
    <row r="991" ht="15.75" customHeight="1">
      <c r="AA991" s="256"/>
    </row>
    <row r="992" ht="15.75" customHeight="1">
      <c r="AA992" s="256"/>
    </row>
    <row r="993" ht="15.75" customHeight="1">
      <c r="AA993" s="256"/>
    </row>
    <row r="994" ht="15.75" customHeight="1">
      <c r="AA994" s="256"/>
    </row>
    <row r="995" ht="15.75" customHeight="1">
      <c r="AA995" s="256"/>
    </row>
    <row r="996" ht="15.75" customHeight="1">
      <c r="AA996" s="256"/>
    </row>
    <row r="997" ht="15.75" customHeight="1">
      <c r="AA997" s="256"/>
    </row>
    <row r="998" ht="15.75" customHeight="1">
      <c r="AA998" s="256"/>
    </row>
    <row r="999" ht="15.75" customHeight="1">
      <c r="AA999" s="256"/>
    </row>
  </sheetData>
  <customSheetViews>
    <customSheetView guid="{8036E9D4-C97E-491C-89D0-CF52B6E19C7E}" filter="1" showAutoFilter="1">
      <autoFilter ref="$A$1:$E$189"/>
    </customSheetView>
    <customSheetView guid="{DD3E0C5D-AF15-4D2B-920F-98B8B2A954ED}" filter="1" showAutoFilter="1">
      <autoFilter ref="$A$1:$E$189"/>
    </customSheetView>
  </customSheetViews>
  <mergeCells count="568">
    <mergeCell ref="J2:J3"/>
    <mergeCell ref="K2:K3"/>
    <mergeCell ref="L2:L3"/>
    <mergeCell ref="M2:M3"/>
    <mergeCell ref="N2:N3"/>
    <mergeCell ref="O2:P2"/>
    <mergeCell ref="K10:T10"/>
    <mergeCell ref="Q2:Q3"/>
    <mergeCell ref="R2:R3"/>
    <mergeCell ref="F1:I1"/>
    <mergeCell ref="K1:T1"/>
    <mergeCell ref="A2:A3"/>
    <mergeCell ref="B2:B3"/>
    <mergeCell ref="C2:C3"/>
    <mergeCell ref="D2:E2"/>
    <mergeCell ref="F2:F3"/>
    <mergeCell ref="AC2:AC3"/>
    <mergeCell ref="AD2:AD3"/>
    <mergeCell ref="S2:T2"/>
    <mergeCell ref="U2:V2"/>
    <mergeCell ref="W2:X3"/>
    <mergeCell ref="Y2:Y3"/>
    <mergeCell ref="Z2:Z3"/>
    <mergeCell ref="AA2:AA3"/>
    <mergeCell ref="AB2:AB3"/>
    <mergeCell ref="G2:H2"/>
    <mergeCell ref="I2:I3"/>
    <mergeCell ref="A9:C9"/>
    <mergeCell ref="F10:I10"/>
    <mergeCell ref="A11:A12"/>
    <mergeCell ref="B11:B12"/>
    <mergeCell ref="C11:C12"/>
    <mergeCell ref="Z11:Z12"/>
    <mergeCell ref="AA11:AA12"/>
    <mergeCell ref="AB11:AB12"/>
    <mergeCell ref="AC11:AC12"/>
    <mergeCell ref="AD11:AD12"/>
    <mergeCell ref="O11:P11"/>
    <mergeCell ref="Q11:Q12"/>
    <mergeCell ref="R11:R12"/>
    <mergeCell ref="S11:T11"/>
    <mergeCell ref="U11:V11"/>
    <mergeCell ref="W11:X12"/>
    <mergeCell ref="Y11:Y12"/>
    <mergeCell ref="C20:C21"/>
    <mergeCell ref="D20:E20"/>
    <mergeCell ref="F20:F21"/>
    <mergeCell ref="G20:H20"/>
    <mergeCell ref="I20:I21"/>
    <mergeCell ref="J20:J21"/>
    <mergeCell ref="AB20:AB21"/>
    <mergeCell ref="AC20:AC21"/>
    <mergeCell ref="AD20:AD21"/>
    <mergeCell ref="AE20:AE21"/>
    <mergeCell ref="K20:K21"/>
    <mergeCell ref="L20:L21"/>
    <mergeCell ref="U20:V20"/>
    <mergeCell ref="W20:X21"/>
    <mergeCell ref="Y20:Y21"/>
    <mergeCell ref="Z20:Z21"/>
    <mergeCell ref="AA20:AA21"/>
    <mergeCell ref="G11:H11"/>
    <mergeCell ref="I11:I12"/>
    <mergeCell ref="J11:J12"/>
    <mergeCell ref="K11:K12"/>
    <mergeCell ref="L11:L12"/>
    <mergeCell ref="M11:M12"/>
    <mergeCell ref="N11:N12"/>
    <mergeCell ref="O20:P20"/>
    <mergeCell ref="Q20:Q21"/>
    <mergeCell ref="R20:R21"/>
    <mergeCell ref="S20:T21"/>
    <mergeCell ref="C29:C30"/>
    <mergeCell ref="D29:E29"/>
    <mergeCell ref="F29:F30"/>
    <mergeCell ref="G29:H29"/>
    <mergeCell ref="I29:I30"/>
    <mergeCell ref="J29:J30"/>
    <mergeCell ref="AB29:AB30"/>
    <mergeCell ref="AC29:AC30"/>
    <mergeCell ref="AD29:AD30"/>
    <mergeCell ref="K29:K30"/>
    <mergeCell ref="L29:L30"/>
    <mergeCell ref="U29:V29"/>
    <mergeCell ref="W29:X30"/>
    <mergeCell ref="Y29:Y30"/>
    <mergeCell ref="Z29:Z30"/>
    <mergeCell ref="AA29:AA30"/>
    <mergeCell ref="M20:M21"/>
    <mergeCell ref="N20:N21"/>
    <mergeCell ref="A27:C27"/>
    <mergeCell ref="F28:I28"/>
    <mergeCell ref="K28:T28"/>
    <mergeCell ref="A29:A30"/>
    <mergeCell ref="B29:B30"/>
    <mergeCell ref="M38:M39"/>
    <mergeCell ref="N38:N39"/>
    <mergeCell ref="O38:P38"/>
    <mergeCell ref="Q38:Q39"/>
    <mergeCell ref="M29:M30"/>
    <mergeCell ref="N29:N30"/>
    <mergeCell ref="A36:C36"/>
    <mergeCell ref="F37:I37"/>
    <mergeCell ref="K37:T37"/>
    <mergeCell ref="A38:A39"/>
    <mergeCell ref="B38:B39"/>
    <mergeCell ref="AB38:AB39"/>
    <mergeCell ref="AC38:AC39"/>
    <mergeCell ref="AD38:AD39"/>
    <mergeCell ref="R38:R39"/>
    <mergeCell ref="S38:T39"/>
    <mergeCell ref="U38:V38"/>
    <mergeCell ref="W38:X39"/>
    <mergeCell ref="Y38:Y39"/>
    <mergeCell ref="Z38:Z39"/>
    <mergeCell ref="AA38:AA39"/>
    <mergeCell ref="K47:K48"/>
    <mergeCell ref="L47:L48"/>
    <mergeCell ref="M47:M48"/>
    <mergeCell ref="N47:N48"/>
    <mergeCell ref="O47:P47"/>
    <mergeCell ref="Q47:Q48"/>
    <mergeCell ref="R47:R48"/>
    <mergeCell ref="AC47:AC48"/>
    <mergeCell ref="AD47:AD48"/>
    <mergeCell ref="S47:T48"/>
    <mergeCell ref="U47:V47"/>
    <mergeCell ref="W47:X48"/>
    <mergeCell ref="Y47:Y48"/>
    <mergeCell ref="Z47:Z48"/>
    <mergeCell ref="AA47:AA48"/>
    <mergeCell ref="AB47:AB48"/>
    <mergeCell ref="I38:I39"/>
    <mergeCell ref="J38:J39"/>
    <mergeCell ref="F38:F39"/>
    <mergeCell ref="G38:H38"/>
    <mergeCell ref="F46:I46"/>
    <mergeCell ref="F47:F48"/>
    <mergeCell ref="G47:H47"/>
    <mergeCell ref="I47:I48"/>
    <mergeCell ref="J47:J48"/>
    <mergeCell ref="Y56:Y57"/>
    <mergeCell ref="Z56:Z57"/>
    <mergeCell ref="AA56:AA57"/>
    <mergeCell ref="AB56:AB57"/>
    <mergeCell ref="AC56:AC57"/>
    <mergeCell ref="AD56:AD57"/>
    <mergeCell ref="N56:N57"/>
    <mergeCell ref="O56:P56"/>
    <mergeCell ref="Q56:Q57"/>
    <mergeCell ref="R56:R57"/>
    <mergeCell ref="S56:T57"/>
    <mergeCell ref="U56:V56"/>
    <mergeCell ref="W56:X57"/>
    <mergeCell ref="Q74:Q75"/>
    <mergeCell ref="R74:R75"/>
    <mergeCell ref="S74:T75"/>
    <mergeCell ref="K38:K39"/>
    <mergeCell ref="L38:L39"/>
    <mergeCell ref="K46:T46"/>
    <mergeCell ref="K55:T55"/>
    <mergeCell ref="K64:T64"/>
    <mergeCell ref="K73:T73"/>
    <mergeCell ref="O74:P74"/>
    <mergeCell ref="G92:H92"/>
    <mergeCell ref="I92:I93"/>
    <mergeCell ref="J92:J93"/>
    <mergeCell ref="K92:K93"/>
    <mergeCell ref="L92:L93"/>
    <mergeCell ref="M92:M93"/>
    <mergeCell ref="N92:N93"/>
    <mergeCell ref="A90:C90"/>
    <mergeCell ref="F91:I91"/>
    <mergeCell ref="A92:A93"/>
    <mergeCell ref="B92:B93"/>
    <mergeCell ref="C92:C93"/>
    <mergeCell ref="D92:E92"/>
    <mergeCell ref="F92:F93"/>
    <mergeCell ref="Q92:Q93"/>
    <mergeCell ref="R92:R93"/>
    <mergeCell ref="S92:T93"/>
    <mergeCell ref="K82:T82"/>
    <mergeCell ref="O83:P83"/>
    <mergeCell ref="Q83:Q84"/>
    <mergeCell ref="R83:R84"/>
    <mergeCell ref="S83:T84"/>
    <mergeCell ref="K91:T91"/>
    <mergeCell ref="O92:P92"/>
    <mergeCell ref="G101:H101"/>
    <mergeCell ref="I101:I102"/>
    <mergeCell ref="J101:J102"/>
    <mergeCell ref="K101:K102"/>
    <mergeCell ref="L101:L102"/>
    <mergeCell ref="M101:M102"/>
    <mergeCell ref="N101:N102"/>
    <mergeCell ref="A99:C99"/>
    <mergeCell ref="F100:I100"/>
    <mergeCell ref="A101:A102"/>
    <mergeCell ref="B101:B102"/>
    <mergeCell ref="C101:C102"/>
    <mergeCell ref="D101:E101"/>
    <mergeCell ref="F101:F102"/>
    <mergeCell ref="W92:X93"/>
    <mergeCell ref="Y92:Y93"/>
    <mergeCell ref="Z92:Z93"/>
    <mergeCell ref="AA92:AA93"/>
    <mergeCell ref="AB92:AB93"/>
    <mergeCell ref="AC92:AC93"/>
    <mergeCell ref="AD92:AD93"/>
    <mergeCell ref="U92:V92"/>
    <mergeCell ref="U101:V101"/>
    <mergeCell ref="W101:X102"/>
    <mergeCell ref="Y101:Y102"/>
    <mergeCell ref="Z101:Z102"/>
    <mergeCell ref="AA101:AA102"/>
    <mergeCell ref="AB101:AB102"/>
    <mergeCell ref="AA65:AA66"/>
    <mergeCell ref="AB65:AB66"/>
    <mergeCell ref="AC65:AC66"/>
    <mergeCell ref="AD65:AD66"/>
    <mergeCell ref="Q65:Q66"/>
    <mergeCell ref="R65:R66"/>
    <mergeCell ref="S65:T66"/>
    <mergeCell ref="U65:V65"/>
    <mergeCell ref="W65:X66"/>
    <mergeCell ref="Y65:Y66"/>
    <mergeCell ref="Z65:Z66"/>
    <mergeCell ref="W74:X75"/>
    <mergeCell ref="Y74:Y75"/>
    <mergeCell ref="Z74:Z75"/>
    <mergeCell ref="AA74:AA75"/>
    <mergeCell ref="AB74:AB75"/>
    <mergeCell ref="AC74:AC75"/>
    <mergeCell ref="AD74:AD75"/>
    <mergeCell ref="AC83:AC84"/>
    <mergeCell ref="AD83:AD84"/>
    <mergeCell ref="U74:V74"/>
    <mergeCell ref="U83:V83"/>
    <mergeCell ref="W83:X84"/>
    <mergeCell ref="Y83:Y84"/>
    <mergeCell ref="Z83:Z84"/>
    <mergeCell ref="AA83:AA84"/>
    <mergeCell ref="AB83:AB84"/>
    <mergeCell ref="AC101:AC102"/>
    <mergeCell ref="AD101:AD102"/>
    <mergeCell ref="U110:V110"/>
    <mergeCell ref="W110:X111"/>
    <mergeCell ref="Y110:Y111"/>
    <mergeCell ref="Z110:Z111"/>
    <mergeCell ref="AA110:AA111"/>
    <mergeCell ref="AB110:AB111"/>
    <mergeCell ref="AC110:AC111"/>
    <mergeCell ref="AD110:AD111"/>
    <mergeCell ref="G110:H110"/>
    <mergeCell ref="I110:I111"/>
    <mergeCell ref="J110:J111"/>
    <mergeCell ref="K110:K111"/>
    <mergeCell ref="L110:L111"/>
    <mergeCell ref="M110:M111"/>
    <mergeCell ref="N110:N111"/>
    <mergeCell ref="A108:C108"/>
    <mergeCell ref="F109:I109"/>
    <mergeCell ref="A110:A111"/>
    <mergeCell ref="B110:B111"/>
    <mergeCell ref="C110:C111"/>
    <mergeCell ref="D110:E110"/>
    <mergeCell ref="F110:F111"/>
    <mergeCell ref="G155:H155"/>
    <mergeCell ref="I155:I156"/>
    <mergeCell ref="J155:J156"/>
    <mergeCell ref="K155:K156"/>
    <mergeCell ref="L155:L156"/>
    <mergeCell ref="M155:M156"/>
    <mergeCell ref="N155:N156"/>
    <mergeCell ref="A153:C153"/>
    <mergeCell ref="F154:I154"/>
    <mergeCell ref="A155:A156"/>
    <mergeCell ref="B155:B156"/>
    <mergeCell ref="C155:C156"/>
    <mergeCell ref="D155:E155"/>
    <mergeCell ref="F155:F156"/>
    <mergeCell ref="G164:H164"/>
    <mergeCell ref="I164:I165"/>
    <mergeCell ref="J164:J165"/>
    <mergeCell ref="K164:K165"/>
    <mergeCell ref="L164:L165"/>
    <mergeCell ref="M164:M165"/>
    <mergeCell ref="N164:N165"/>
    <mergeCell ref="A162:C162"/>
    <mergeCell ref="F163:I163"/>
    <mergeCell ref="A164:A165"/>
    <mergeCell ref="B164:B165"/>
    <mergeCell ref="C164:C165"/>
    <mergeCell ref="D164:E164"/>
    <mergeCell ref="F164:F165"/>
    <mergeCell ref="Q164:Q165"/>
    <mergeCell ref="R164:R165"/>
    <mergeCell ref="S164:T165"/>
    <mergeCell ref="K154:T154"/>
    <mergeCell ref="O155:P155"/>
    <mergeCell ref="Q155:Q156"/>
    <mergeCell ref="R155:R156"/>
    <mergeCell ref="S155:T156"/>
    <mergeCell ref="K163:T163"/>
    <mergeCell ref="O164:P164"/>
    <mergeCell ref="D11:E11"/>
    <mergeCell ref="F11:F12"/>
    <mergeCell ref="A18:C18"/>
    <mergeCell ref="F19:I19"/>
    <mergeCell ref="K19:T19"/>
    <mergeCell ref="A20:A21"/>
    <mergeCell ref="B20:B21"/>
    <mergeCell ref="O29:P29"/>
    <mergeCell ref="Q29:Q30"/>
    <mergeCell ref="R29:R30"/>
    <mergeCell ref="S29:T29"/>
    <mergeCell ref="C38:C39"/>
    <mergeCell ref="D38:E38"/>
    <mergeCell ref="A45:C45"/>
    <mergeCell ref="A47:A48"/>
    <mergeCell ref="B47:B48"/>
    <mergeCell ref="C47:C48"/>
    <mergeCell ref="D47:E47"/>
    <mergeCell ref="F55:I55"/>
    <mergeCell ref="G56:H56"/>
    <mergeCell ref="I56:I57"/>
    <mergeCell ref="J56:J57"/>
    <mergeCell ref="K56:K57"/>
    <mergeCell ref="L56:L57"/>
    <mergeCell ref="M56:M57"/>
    <mergeCell ref="I65:I66"/>
    <mergeCell ref="J65:J66"/>
    <mergeCell ref="K65:K66"/>
    <mergeCell ref="L65:L66"/>
    <mergeCell ref="M65:M66"/>
    <mergeCell ref="N65:N66"/>
    <mergeCell ref="O65:P65"/>
    <mergeCell ref="Q182:Q183"/>
    <mergeCell ref="R182:R183"/>
    <mergeCell ref="S182:T183"/>
    <mergeCell ref="K172:T172"/>
    <mergeCell ref="O173:P173"/>
    <mergeCell ref="Q173:Q174"/>
    <mergeCell ref="R173:R174"/>
    <mergeCell ref="S173:T174"/>
    <mergeCell ref="K181:T181"/>
    <mergeCell ref="O182:P182"/>
    <mergeCell ref="G173:H173"/>
    <mergeCell ref="I173:I174"/>
    <mergeCell ref="J173:J174"/>
    <mergeCell ref="K173:K174"/>
    <mergeCell ref="L173:L174"/>
    <mergeCell ref="M173:M174"/>
    <mergeCell ref="N173:N174"/>
    <mergeCell ref="A171:C171"/>
    <mergeCell ref="F172:I172"/>
    <mergeCell ref="A173:A174"/>
    <mergeCell ref="B173:B174"/>
    <mergeCell ref="C173:C174"/>
    <mergeCell ref="D173:E173"/>
    <mergeCell ref="F173:F174"/>
    <mergeCell ref="A54:C54"/>
    <mergeCell ref="A56:A57"/>
    <mergeCell ref="B56:B57"/>
    <mergeCell ref="C56:C57"/>
    <mergeCell ref="D56:E56"/>
    <mergeCell ref="F56:F57"/>
    <mergeCell ref="F64:I64"/>
    <mergeCell ref="A63:C63"/>
    <mergeCell ref="A65:A66"/>
    <mergeCell ref="B65:B66"/>
    <mergeCell ref="C65:C66"/>
    <mergeCell ref="D65:E65"/>
    <mergeCell ref="F65:F66"/>
    <mergeCell ref="G65:H65"/>
    <mergeCell ref="G74:H74"/>
    <mergeCell ref="I74:I75"/>
    <mergeCell ref="J74:J75"/>
    <mergeCell ref="K74:K75"/>
    <mergeCell ref="L74:L75"/>
    <mergeCell ref="M74:M75"/>
    <mergeCell ref="N74:N75"/>
    <mergeCell ref="A72:C72"/>
    <mergeCell ref="F73:I73"/>
    <mergeCell ref="A74:A75"/>
    <mergeCell ref="B74:B75"/>
    <mergeCell ref="C74:C75"/>
    <mergeCell ref="D74:E74"/>
    <mergeCell ref="F74:F75"/>
    <mergeCell ref="G83:H83"/>
    <mergeCell ref="I83:I84"/>
    <mergeCell ref="J83:J84"/>
    <mergeCell ref="K83:K84"/>
    <mergeCell ref="L83:L84"/>
    <mergeCell ref="M83:M84"/>
    <mergeCell ref="N83:N84"/>
    <mergeCell ref="A81:C81"/>
    <mergeCell ref="F82:I82"/>
    <mergeCell ref="A83:A84"/>
    <mergeCell ref="B83:B84"/>
    <mergeCell ref="C83:C84"/>
    <mergeCell ref="D83:E83"/>
    <mergeCell ref="F83:F84"/>
    <mergeCell ref="G182:H182"/>
    <mergeCell ref="I182:I183"/>
    <mergeCell ref="J182:J183"/>
    <mergeCell ref="K182:K183"/>
    <mergeCell ref="L182:L183"/>
    <mergeCell ref="M182:M183"/>
    <mergeCell ref="N182:N183"/>
    <mergeCell ref="A180:C180"/>
    <mergeCell ref="F181:I181"/>
    <mergeCell ref="A182:A183"/>
    <mergeCell ref="B182:B183"/>
    <mergeCell ref="C182:C183"/>
    <mergeCell ref="D182:E182"/>
    <mergeCell ref="F182:F183"/>
    <mergeCell ref="A189:C189"/>
    <mergeCell ref="K100:T100"/>
    <mergeCell ref="O101:P101"/>
    <mergeCell ref="Q101:Q102"/>
    <mergeCell ref="R101:R102"/>
    <mergeCell ref="S101:T102"/>
    <mergeCell ref="K109:T109"/>
    <mergeCell ref="O110:P110"/>
    <mergeCell ref="AA119:AA120"/>
    <mergeCell ref="AB119:AB120"/>
    <mergeCell ref="AC119:AC120"/>
    <mergeCell ref="AD119:AD120"/>
    <mergeCell ref="U128:V128"/>
    <mergeCell ref="W128:X129"/>
    <mergeCell ref="Y128:Y129"/>
    <mergeCell ref="Z128:Z129"/>
    <mergeCell ref="AA128:AA129"/>
    <mergeCell ref="AB128:AB129"/>
    <mergeCell ref="AC128:AC129"/>
    <mergeCell ref="AD128:AD129"/>
    <mergeCell ref="Q110:Q111"/>
    <mergeCell ref="R110:R111"/>
    <mergeCell ref="S110:T111"/>
    <mergeCell ref="U119:V119"/>
    <mergeCell ref="W119:X120"/>
    <mergeCell ref="Y119:Y120"/>
    <mergeCell ref="Z119:Z120"/>
    <mergeCell ref="G119:H119"/>
    <mergeCell ref="I119:I120"/>
    <mergeCell ref="J119:J120"/>
    <mergeCell ref="K119:K120"/>
    <mergeCell ref="L119:L120"/>
    <mergeCell ref="M119:M120"/>
    <mergeCell ref="N119:N120"/>
    <mergeCell ref="A117:C117"/>
    <mergeCell ref="F118:I118"/>
    <mergeCell ref="A119:A120"/>
    <mergeCell ref="B119:B120"/>
    <mergeCell ref="C119:C120"/>
    <mergeCell ref="D119:E119"/>
    <mergeCell ref="F119:F120"/>
    <mergeCell ref="G128:H128"/>
    <mergeCell ref="I128:I129"/>
    <mergeCell ref="J128:J129"/>
    <mergeCell ref="K128:K129"/>
    <mergeCell ref="L128:L129"/>
    <mergeCell ref="M128:M129"/>
    <mergeCell ref="N128:N129"/>
    <mergeCell ref="A126:C126"/>
    <mergeCell ref="F127:I127"/>
    <mergeCell ref="A128:A129"/>
    <mergeCell ref="B128:B129"/>
    <mergeCell ref="C128:C129"/>
    <mergeCell ref="D128:E128"/>
    <mergeCell ref="F128:F129"/>
    <mergeCell ref="K118:T118"/>
    <mergeCell ref="O119:P119"/>
    <mergeCell ref="Q119:Q120"/>
    <mergeCell ref="R119:R120"/>
    <mergeCell ref="S119:T120"/>
    <mergeCell ref="K127:T127"/>
    <mergeCell ref="O128:P128"/>
    <mergeCell ref="AA137:AA138"/>
    <mergeCell ref="AB137:AB138"/>
    <mergeCell ref="AC137:AC138"/>
    <mergeCell ref="AD137:AD138"/>
    <mergeCell ref="U146:V146"/>
    <mergeCell ref="W146:X147"/>
    <mergeCell ref="Y146:Y147"/>
    <mergeCell ref="Z146:Z147"/>
    <mergeCell ref="AA146:AA147"/>
    <mergeCell ref="AB146:AB147"/>
    <mergeCell ref="AC146:AC147"/>
    <mergeCell ref="AD146:AD147"/>
    <mergeCell ref="Q128:Q129"/>
    <mergeCell ref="R128:R129"/>
    <mergeCell ref="S128:T129"/>
    <mergeCell ref="U137:V137"/>
    <mergeCell ref="W137:X138"/>
    <mergeCell ref="Y137:Y138"/>
    <mergeCell ref="Z137:Z138"/>
    <mergeCell ref="G137:H137"/>
    <mergeCell ref="I137:I138"/>
    <mergeCell ref="J137:J138"/>
    <mergeCell ref="K137:K138"/>
    <mergeCell ref="L137:L138"/>
    <mergeCell ref="M137:M138"/>
    <mergeCell ref="N137:N138"/>
    <mergeCell ref="A135:C135"/>
    <mergeCell ref="F136:I136"/>
    <mergeCell ref="A137:A138"/>
    <mergeCell ref="B137:B138"/>
    <mergeCell ref="C137:C138"/>
    <mergeCell ref="D137:E137"/>
    <mergeCell ref="F137:F138"/>
    <mergeCell ref="G146:H146"/>
    <mergeCell ref="I146:I147"/>
    <mergeCell ref="J146:J147"/>
    <mergeCell ref="K146:K147"/>
    <mergeCell ref="L146:L147"/>
    <mergeCell ref="M146:M147"/>
    <mergeCell ref="N146:N147"/>
    <mergeCell ref="A144:C144"/>
    <mergeCell ref="F145:I145"/>
    <mergeCell ref="A146:A147"/>
    <mergeCell ref="B146:B147"/>
    <mergeCell ref="C146:C147"/>
    <mergeCell ref="D146:E146"/>
    <mergeCell ref="F146:F147"/>
    <mergeCell ref="K136:T136"/>
    <mergeCell ref="O137:P137"/>
    <mergeCell ref="Q137:Q138"/>
    <mergeCell ref="R137:R138"/>
    <mergeCell ref="S137:T138"/>
    <mergeCell ref="K145:T145"/>
    <mergeCell ref="O146:P146"/>
    <mergeCell ref="AA155:AA156"/>
    <mergeCell ref="AB155:AB156"/>
    <mergeCell ref="AC155:AC156"/>
    <mergeCell ref="AD155:AD156"/>
    <mergeCell ref="Q146:Q147"/>
    <mergeCell ref="R146:R147"/>
    <mergeCell ref="S146:T147"/>
    <mergeCell ref="U155:V155"/>
    <mergeCell ref="W155:X156"/>
    <mergeCell ref="Y155:Y156"/>
    <mergeCell ref="Z155:Z156"/>
    <mergeCell ref="W164:X165"/>
    <mergeCell ref="Y164:Y165"/>
    <mergeCell ref="Z164:Z165"/>
    <mergeCell ref="AA164:AA165"/>
    <mergeCell ref="AB164:AB165"/>
    <mergeCell ref="AC164:AC165"/>
    <mergeCell ref="AD164:AD165"/>
    <mergeCell ref="AC173:AC174"/>
    <mergeCell ref="AD173:AD174"/>
    <mergeCell ref="U182:V182"/>
    <mergeCell ref="W182:X183"/>
    <mergeCell ref="Y182:Y183"/>
    <mergeCell ref="Z182:Z183"/>
    <mergeCell ref="AA182:AA183"/>
    <mergeCell ref="AB182:AB183"/>
    <mergeCell ref="AC182:AC183"/>
    <mergeCell ref="AD182:AD183"/>
    <mergeCell ref="U164:V164"/>
    <mergeCell ref="U173:V173"/>
    <mergeCell ref="W173:X174"/>
    <mergeCell ref="Y173:Y174"/>
    <mergeCell ref="Z173:Z174"/>
    <mergeCell ref="AA173:AA174"/>
    <mergeCell ref="AB173:AB174"/>
  </mergeCells>
  <printOptions gridLines="1"/>
  <pageMargins bottom="0.6" footer="0.0" header="0.0" left="0.7" right="0.0" top="0.5418240881324813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9.63"/>
    <col customWidth="1" min="2" max="2" width="7.0"/>
    <col customWidth="1" min="3" max="3" width="7.5"/>
    <col customWidth="1" min="4" max="4" width="5.13"/>
    <col customWidth="1" min="5" max="5" width="7.25"/>
    <col customWidth="1" min="6" max="6" width="7.0"/>
    <col customWidth="1" min="7" max="7" width="5.13"/>
    <col customWidth="1" min="8" max="8" width="8.38"/>
    <col customWidth="1" min="9" max="9" width="8.0"/>
    <col customWidth="1" min="10" max="10" width="8.38"/>
    <col customWidth="1" min="11" max="11" width="9.75"/>
    <col customWidth="1" min="12" max="12" width="9.38"/>
    <col customWidth="1" min="13" max="13" width="7.5"/>
    <col customWidth="1" min="14" max="14" width="5.38"/>
    <col customWidth="1" min="15" max="15" width="9.25"/>
    <col customWidth="1" min="16" max="16" width="5.88"/>
    <col customWidth="1" min="17" max="17" width="5.13"/>
    <col customWidth="1" min="18" max="18" width="4.13"/>
    <col customWidth="1" min="19" max="21" width="8.38"/>
    <col customWidth="1" min="22" max="22" width="6.75"/>
    <col customWidth="1" min="23" max="23" width="7.5"/>
    <col customWidth="1" min="24" max="24" width="5.13"/>
    <col customWidth="1" min="25" max="25" width="5.63"/>
    <col customWidth="1" min="26" max="26" width="8.63"/>
    <col customWidth="1" hidden="1" min="27" max="30" width="8.63"/>
  </cols>
  <sheetData>
    <row r="1" ht="51.0" customHeight="1">
      <c r="A1" s="1" t="s">
        <v>0</v>
      </c>
      <c r="B1" s="1" t="s">
        <v>1</v>
      </c>
    </row>
    <row r="2" ht="30.0" customHeight="1">
      <c r="A2" s="3"/>
      <c r="B2" s="3" t="s">
        <v>4</v>
      </c>
    </row>
    <row r="3" ht="35.25" customHeight="1">
      <c r="B3" s="7" t="s">
        <v>5</v>
      </c>
      <c r="E3" s="9" t="s">
        <v>7</v>
      </c>
      <c r="F3" s="17">
        <f>C6</f>
        <v>46293</v>
      </c>
      <c r="J3" s="20"/>
      <c r="K3" s="21"/>
      <c r="L3" s="2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54.0" hidden="1" customHeight="1">
      <c r="A4" s="28"/>
      <c r="B4" s="28"/>
      <c r="C4" s="30"/>
      <c r="F4" s="31" t="str">
        <f>IFERROR(__xludf.DUMMYFUNCTION("AI(""Fill an appropriate value for this cell based on the table context"")"),"Loanee")</f>
        <v>Loanee</v>
      </c>
      <c r="G4" s="31" t="str">
        <f>IFERROR(__xludf.DUMMYFUNCTION("AI(""Fill an appropriate value for this cell based on the table context"")"),"")</f>
        <v/>
      </c>
      <c r="H4" s="32"/>
      <c r="I4" s="32"/>
      <c r="J4" s="32"/>
      <c r="K4" s="32"/>
      <c r="L4" s="32"/>
      <c r="P4" s="33"/>
      <c r="Q4" s="34" t="s">
        <v>40</v>
      </c>
      <c r="R4" s="23"/>
      <c r="S4" s="40">
        <f>C6</f>
        <v>46293</v>
      </c>
      <c r="T4" s="23"/>
      <c r="U4" s="23"/>
      <c r="V4" s="23"/>
      <c r="W4" s="23"/>
    </row>
    <row r="5" ht="27.75" customHeight="1">
      <c r="A5" s="43" t="s">
        <v>53</v>
      </c>
      <c r="B5" s="46" t="s">
        <v>58</v>
      </c>
      <c r="C5" s="15"/>
      <c r="D5" s="43" t="s">
        <v>62</v>
      </c>
      <c r="E5" s="46" t="s">
        <v>65</v>
      </c>
      <c r="F5" s="15"/>
      <c r="G5" s="43" t="s">
        <v>62</v>
      </c>
      <c r="H5" s="46" t="s">
        <v>66</v>
      </c>
      <c r="I5" s="15"/>
      <c r="J5" s="43" t="s">
        <v>62</v>
      </c>
      <c r="K5" s="46" t="s">
        <v>67</v>
      </c>
      <c r="L5" s="15"/>
      <c r="M5" s="55" t="s">
        <v>68</v>
      </c>
      <c r="N5" s="43" t="s">
        <v>69</v>
      </c>
      <c r="O5" s="43" t="s">
        <v>70</v>
      </c>
      <c r="P5" s="46" t="s">
        <v>71</v>
      </c>
      <c r="Q5" s="15"/>
      <c r="R5" s="43" t="s">
        <v>72</v>
      </c>
      <c r="S5" s="46" t="s">
        <v>73</v>
      </c>
      <c r="T5" s="15"/>
      <c r="U5" s="43" t="s">
        <v>62</v>
      </c>
      <c r="V5" s="43" t="s">
        <v>75</v>
      </c>
      <c r="W5" s="43" t="s">
        <v>77</v>
      </c>
      <c r="X5" s="43" t="s">
        <v>79</v>
      </c>
      <c r="Y5" s="64" t="s">
        <v>80</v>
      </c>
    </row>
    <row r="6" ht="33.0" customHeight="1">
      <c r="A6" s="25"/>
      <c r="B6" s="67">
        <v>46234.0</v>
      </c>
      <c r="C6" s="69">
        <v>46293.0</v>
      </c>
      <c r="D6" s="25"/>
      <c r="E6" s="71">
        <f t="shared" ref="E6:F6" si="1">B6</f>
        <v>46234</v>
      </c>
      <c r="F6" s="69">
        <f t="shared" si="1"/>
        <v>46293</v>
      </c>
      <c r="G6" s="25"/>
      <c r="H6" s="71">
        <f t="shared" ref="H6:I6" si="2">E6</f>
        <v>46234</v>
      </c>
      <c r="I6" s="69">
        <f t="shared" si="2"/>
        <v>46293</v>
      </c>
      <c r="J6" s="25"/>
      <c r="K6" s="71">
        <f t="shared" ref="K6:L6" si="3">H6</f>
        <v>46234</v>
      </c>
      <c r="L6" s="69">
        <f t="shared" si="3"/>
        <v>46293</v>
      </c>
      <c r="M6" s="25"/>
      <c r="N6" s="25"/>
      <c r="O6" s="25"/>
      <c r="P6" s="75" t="s">
        <v>96</v>
      </c>
      <c r="Q6" s="75" t="s">
        <v>99</v>
      </c>
      <c r="R6" s="25"/>
      <c r="S6" s="75" t="s">
        <v>100</v>
      </c>
      <c r="T6" s="75" t="s">
        <v>101</v>
      </c>
      <c r="U6" s="25"/>
      <c r="V6" s="25"/>
      <c r="W6" s="25"/>
      <c r="X6" s="25"/>
      <c r="Y6" s="25"/>
    </row>
    <row r="7" ht="37.5" customHeight="1">
      <c r="A7" s="79" t="s">
        <v>105</v>
      </c>
      <c r="B7" s="80">
        <v>858.0</v>
      </c>
      <c r="C7" s="88">
        <f>SUMIFS('September-2026'!F:F,'September-2026'!$B:$B,$C$6,'September-2026'!$C:$C,$A:$A)</f>
        <v>863</v>
      </c>
      <c r="D7" s="91">
        <f t="shared" ref="D7:D11" si="4">C7-B7</f>
        <v>5</v>
      </c>
      <c r="E7" s="80">
        <v>705.0</v>
      </c>
      <c r="F7" s="88">
        <f>SUMIFS('September-2026'!I:I,'September-2026'!$B:$B,$C$6,'September-2026'!$C:$C,$A:$A)</f>
        <v>700</v>
      </c>
      <c r="G7" s="91">
        <f t="shared" ref="G7:G11" si="5">F7-E7</f>
        <v>-5</v>
      </c>
      <c r="H7" s="80">
        <v>1.744881E7</v>
      </c>
      <c r="I7" s="88">
        <f>SUMIFS('September-2026'!L:L,'September-2026'!$B:$B,$C$6,'September-2026'!$C:$C,$A:$A)</f>
        <v>17598499</v>
      </c>
      <c r="J7" s="91">
        <f t="shared" ref="J7:J11" si="6">I7-H7</f>
        <v>149689</v>
      </c>
      <c r="K7" s="80">
        <v>6.0666312E7</v>
      </c>
      <c r="L7" s="88">
        <f>SUMIFS('September-2026'!Z:Z,'September-2026'!$B:$B,$C$6,'September-2026'!$C:$C,$A:$A)</f>
        <v>61450252</v>
      </c>
      <c r="M7" s="91">
        <f t="shared" ref="M7:M11" si="7">L7-K7</f>
        <v>783940</v>
      </c>
      <c r="N7" s="105">
        <f>SUMIFS('September-2026'!AB:AB,'September-2026'!$B:$B,$C$6,'September-2026'!$C:$C,$A:$A)</f>
        <v>93</v>
      </c>
      <c r="O7" s="88">
        <f>SUMIFS('September-2026'!Y:Y,'September-2026'!$B:$B,$C$6,'September-2026'!$C:$C,$A:$A)</f>
        <v>7015000</v>
      </c>
      <c r="P7" s="107">
        <v>527.0</v>
      </c>
      <c r="Q7" s="111">
        <f>SUMIFS('September-2026'!T:T,'September-2026'!$B:$B,$C$6,'September-2026'!$C:$C,$A:$A)</f>
        <v>491</v>
      </c>
      <c r="R7" s="112">
        <f t="shared" ref="R7:R11" si="8">P7-Q7</f>
        <v>36</v>
      </c>
      <c r="S7" s="80">
        <v>2770418.0</v>
      </c>
      <c r="T7" s="88">
        <f>SUMIFS('September-2026'!AA:AA,'September-2026'!$B:$B,$C$6,'September-2026'!$C:$C,$A:$A)</f>
        <v>3237365</v>
      </c>
      <c r="U7" s="119">
        <f t="shared" ref="U7:U11" si="9">T7-S7</f>
        <v>466947</v>
      </c>
      <c r="V7" s="88">
        <f>SUMIFS('September-2026'!AC:AC,'September-2026'!$B:$B,$C$6,'September-2026'!$C:$C,$A:$A)</f>
        <v>217</v>
      </c>
      <c r="W7" s="88">
        <f>SUMIFS('September-2026'!AD:AD,'September-2026'!$B:$B,$C$6,'September-2026'!$C:$C,$A:$A)</f>
        <v>2457030</v>
      </c>
      <c r="X7" s="125">
        <f t="shared" ref="X7:X11" si="10">Q7/P7</f>
        <v>0.9316888046</v>
      </c>
      <c r="Y7" s="127">
        <v>90.0</v>
      </c>
      <c r="Z7" s="129"/>
      <c r="AA7" s="129"/>
      <c r="AB7" s="129"/>
      <c r="AC7" s="129"/>
      <c r="AD7" s="129"/>
    </row>
    <row r="8" ht="37.5" customHeight="1">
      <c r="A8" s="79" t="s">
        <v>128</v>
      </c>
      <c r="B8" s="80">
        <v>873.0</v>
      </c>
      <c r="C8" s="88">
        <f>SUMIFS('September-2026'!F:F,'September-2026'!$B:$B,$C$6,'September-2026'!$C:$C,$A:$A)</f>
        <v>885</v>
      </c>
      <c r="D8" s="91">
        <f t="shared" si="4"/>
        <v>12</v>
      </c>
      <c r="E8" s="80">
        <v>686.0</v>
      </c>
      <c r="F8" s="88">
        <f>SUMIFS('September-2026'!I:I,'September-2026'!$B:$B,$C$6,'September-2026'!$C:$C,$A:$A)</f>
        <v>693</v>
      </c>
      <c r="G8" s="91">
        <f t="shared" si="5"/>
        <v>7</v>
      </c>
      <c r="H8" s="80">
        <v>1.5480081E7</v>
      </c>
      <c r="I8" s="88">
        <f>SUMIFS('September-2026'!L:L,'September-2026'!$B:$B,$C$6,'September-2026'!$C:$C,$A:$A)</f>
        <v>15836369</v>
      </c>
      <c r="J8" s="91">
        <f t="shared" si="6"/>
        <v>356288</v>
      </c>
      <c r="K8" s="80">
        <v>5.1742527E7</v>
      </c>
      <c r="L8" s="88">
        <f>SUMIFS('September-2026'!Z:Z,'September-2026'!$B:$B,$C$6,'September-2026'!$C:$C,$A:$A)</f>
        <v>52762619</v>
      </c>
      <c r="M8" s="91">
        <f t="shared" si="7"/>
        <v>1020092</v>
      </c>
      <c r="N8" s="105">
        <f>SUMIFS('September-2026'!AB:AB,'September-2026'!$B:$B,$C$6,'September-2026'!$C:$C,$A:$A)</f>
        <v>100</v>
      </c>
      <c r="O8" s="88">
        <f>SUMIFS('September-2026'!Y:Y,'September-2026'!$B:$B,$C$6,'September-2026'!$C:$C,$A:$A)</f>
        <v>7590000</v>
      </c>
      <c r="P8" s="107">
        <v>525.0</v>
      </c>
      <c r="Q8" s="111">
        <f>SUMIFS('September-2026'!T:T,'September-2026'!$B:$B,$C$6,'September-2026'!$C:$C,$A:$A)</f>
        <v>512</v>
      </c>
      <c r="R8" s="112">
        <f t="shared" si="8"/>
        <v>13</v>
      </c>
      <c r="S8" s="80">
        <v>2838342.0</v>
      </c>
      <c r="T8" s="88">
        <f>SUMIFS('September-2026'!AA:AA,'September-2026'!$B:$B,$C$6,'September-2026'!$C:$C,$A:$A)</f>
        <v>2984488</v>
      </c>
      <c r="U8" s="119">
        <f t="shared" si="9"/>
        <v>146146</v>
      </c>
      <c r="V8" s="88">
        <f>SUMIFS('September-2026'!AC:AC,'September-2026'!$B:$B,$C$6,'September-2026'!$C:$C,$A:$A)</f>
        <v>14913</v>
      </c>
      <c r="W8" s="88">
        <f>SUMIFS('September-2026'!AD:AD,'September-2026'!$B:$B,$C$6,'September-2026'!$C:$C,$A:$A)</f>
        <v>2040794</v>
      </c>
      <c r="X8" s="125">
        <f t="shared" si="10"/>
        <v>0.9752380952</v>
      </c>
      <c r="Y8" s="141">
        <f t="shared" ref="Y8:Y11" si="11">E8-P8</f>
        <v>161</v>
      </c>
      <c r="Z8" s="129"/>
      <c r="AA8" s="129"/>
      <c r="AB8" s="129"/>
      <c r="AC8" s="129"/>
      <c r="AD8" s="129"/>
    </row>
    <row r="9" ht="37.5" customHeight="1">
      <c r="A9" s="79" t="s">
        <v>115</v>
      </c>
      <c r="B9" s="80">
        <v>780.0</v>
      </c>
      <c r="C9" s="88">
        <f>SUMIFS('September-2026'!F:F,'September-2026'!$B:$B,$C$6,'September-2026'!$C:$C,$A:$A)</f>
        <v>777</v>
      </c>
      <c r="D9" s="91">
        <f t="shared" si="4"/>
        <v>-3</v>
      </c>
      <c r="E9" s="80">
        <v>640.0</v>
      </c>
      <c r="F9" s="88">
        <f>SUMIFS('September-2026'!I:I,'September-2026'!$B:$B,$C$6,'September-2026'!$C:$C,$A:$A)</f>
        <v>635</v>
      </c>
      <c r="G9" s="91">
        <f t="shared" si="5"/>
        <v>-5</v>
      </c>
      <c r="H9" s="80">
        <v>1.9409733E7</v>
      </c>
      <c r="I9" s="88">
        <f>SUMIFS('September-2026'!L:L,'September-2026'!$B:$B,$C$6,'September-2026'!$C:$C,$A:$A)</f>
        <v>19731838</v>
      </c>
      <c r="J9" s="91">
        <f t="shared" si="6"/>
        <v>322105</v>
      </c>
      <c r="K9" s="80">
        <v>5.393016E7</v>
      </c>
      <c r="L9" s="88">
        <f>SUMIFS('September-2026'!Z:Z,'September-2026'!$B:$B,$C$6,'September-2026'!$C:$C,$A:$A)</f>
        <v>55093843</v>
      </c>
      <c r="M9" s="91">
        <f t="shared" si="7"/>
        <v>1163683</v>
      </c>
      <c r="N9" s="105">
        <f>SUMIFS('September-2026'!AB:AB,'September-2026'!$B:$B,$C$6,'September-2026'!$C:$C,$A:$A)</f>
        <v>97</v>
      </c>
      <c r="O9" s="88">
        <f>SUMIFS('September-2026'!Y:Y,'September-2026'!$B:$B,$C$6,'September-2026'!$C:$C,$A:$A)</f>
        <v>7520000</v>
      </c>
      <c r="P9" s="107">
        <v>532.0</v>
      </c>
      <c r="Q9" s="111">
        <f>SUMIFS('September-2026'!T:T,'September-2026'!$B:$B,$C$6,'September-2026'!$C:$C,$A:$A)</f>
        <v>514</v>
      </c>
      <c r="R9" s="112">
        <f t="shared" si="8"/>
        <v>18</v>
      </c>
      <c r="S9" s="80">
        <v>2632579.0</v>
      </c>
      <c r="T9" s="88">
        <f>SUMIFS('September-2026'!AA:AA,'September-2026'!$B:$B,$C$6,'September-2026'!$C:$C,$A:$A)</f>
        <v>2833149</v>
      </c>
      <c r="U9" s="119">
        <f t="shared" si="9"/>
        <v>200570</v>
      </c>
      <c r="V9" s="88">
        <f>SUMIFS('September-2026'!AC:AC,'September-2026'!$B:$B,$C$6,'September-2026'!$C:$C,$A:$A)</f>
        <v>342</v>
      </c>
      <c r="W9" s="88">
        <f>SUMIFS('September-2026'!AD:AD,'September-2026'!$B:$B,$C$6,'September-2026'!$C:$C,$A:$A)</f>
        <v>3230019</v>
      </c>
      <c r="X9" s="125">
        <f t="shared" si="10"/>
        <v>0.9661654135</v>
      </c>
      <c r="Y9" s="141">
        <f t="shared" si="11"/>
        <v>108</v>
      </c>
      <c r="Z9" s="129"/>
      <c r="AA9" s="129"/>
      <c r="AB9" s="129"/>
      <c r="AC9" s="129"/>
      <c r="AD9" s="129"/>
    </row>
    <row r="10" ht="37.5" customHeight="1">
      <c r="A10" s="94" t="s">
        <v>123</v>
      </c>
      <c r="B10" s="80">
        <v>913.0</v>
      </c>
      <c r="C10" s="88">
        <f>SUMIFS('September-2026'!F:F,'September-2026'!$B:$B,$C$6,'September-2026'!$C:$C,$A:$A)</f>
        <v>913</v>
      </c>
      <c r="D10" s="91">
        <f t="shared" si="4"/>
        <v>0</v>
      </c>
      <c r="E10" s="80">
        <v>765.0</v>
      </c>
      <c r="F10" s="88">
        <f>SUMIFS('September-2026'!I:I,'September-2026'!$B:$B,$C$6,'September-2026'!$C:$C,$A:$A)</f>
        <v>767</v>
      </c>
      <c r="G10" s="91">
        <f t="shared" si="5"/>
        <v>2</v>
      </c>
      <c r="H10" s="80">
        <v>2.2755262E7</v>
      </c>
      <c r="I10" s="88">
        <f>SUMIFS('September-2026'!L:L,'September-2026'!$B:$B,$C$6,'September-2026'!$C:$C,$A:$A)</f>
        <v>23139576</v>
      </c>
      <c r="J10" s="91">
        <f t="shared" si="6"/>
        <v>384314</v>
      </c>
      <c r="K10" s="80">
        <v>6.7533066E7</v>
      </c>
      <c r="L10" s="88">
        <f>SUMIFS('September-2026'!Z:Z,'September-2026'!$B:$B,$C$6,'September-2026'!$C:$C,$A:$A)</f>
        <v>68860455</v>
      </c>
      <c r="M10" s="91">
        <f t="shared" si="7"/>
        <v>1327389</v>
      </c>
      <c r="N10" s="105">
        <f>SUMIFS('September-2026'!AB:AB,'September-2026'!$B:$B,$C$6,'September-2026'!$C:$C,$A:$A)</f>
        <v>93</v>
      </c>
      <c r="O10" s="88">
        <f>SUMIFS('September-2026'!Y:Y,'September-2026'!$B:$B,$C$6,'September-2026'!$C:$C,$A:$A)</f>
        <v>9286000</v>
      </c>
      <c r="P10" s="107">
        <v>675.0</v>
      </c>
      <c r="Q10" s="111">
        <f>SUMIFS('September-2026'!T:T,'September-2026'!$B:$B,$C$6,'September-2026'!$C:$C,$A:$A)</f>
        <v>638</v>
      </c>
      <c r="R10" s="112">
        <f t="shared" si="8"/>
        <v>37</v>
      </c>
      <c r="S10" s="80">
        <v>2599812.0</v>
      </c>
      <c r="T10" s="88">
        <f>SUMIFS('September-2026'!AA:AA,'September-2026'!$B:$B,$C$6,'September-2026'!$C:$C,$A:$A)</f>
        <v>3135352</v>
      </c>
      <c r="U10" s="119">
        <f t="shared" si="9"/>
        <v>535540</v>
      </c>
      <c r="V10" s="88">
        <f>SUMIFS('September-2026'!AC:AC,'September-2026'!$B:$B,$C$6,'September-2026'!$C:$C,$A:$A)</f>
        <v>2900</v>
      </c>
      <c r="W10" s="88">
        <f>SUMIFS('September-2026'!AD:AD,'September-2026'!$B:$B,$C$6,'September-2026'!$C:$C,$A:$A)</f>
        <v>4047368</v>
      </c>
      <c r="X10" s="125">
        <f t="shared" si="10"/>
        <v>0.9451851852</v>
      </c>
      <c r="Y10" s="141">
        <f t="shared" si="11"/>
        <v>90</v>
      </c>
      <c r="Z10" s="129"/>
      <c r="AA10" s="129"/>
      <c r="AB10" s="129"/>
      <c r="AC10" s="129"/>
      <c r="AD10" s="129"/>
    </row>
    <row r="11" ht="37.5" customHeight="1">
      <c r="A11" s="163" t="s">
        <v>146</v>
      </c>
      <c r="B11" s="80">
        <v>897.0</v>
      </c>
      <c r="C11" s="88">
        <f>SUMIFS('September-2026'!F:F,'September-2026'!$B:$B,$C$6,'September-2026'!$C:$C,$A:$A)</f>
        <v>910</v>
      </c>
      <c r="D11" s="164">
        <f t="shared" si="4"/>
        <v>13</v>
      </c>
      <c r="E11" s="80">
        <v>741.0</v>
      </c>
      <c r="F11" s="88">
        <f>SUMIFS('September-2026'!I:I,'September-2026'!$B:$B,$C$6,'September-2026'!$C:$C,$A:$A)</f>
        <v>746</v>
      </c>
      <c r="G11" s="91">
        <f t="shared" si="5"/>
        <v>5</v>
      </c>
      <c r="H11" s="80">
        <v>1.626696E7</v>
      </c>
      <c r="I11" s="88">
        <f>SUMIFS('September-2026'!L:L,'September-2026'!$B:$B,$C$6,'September-2026'!$C:$C,$A:$A)</f>
        <v>16407489</v>
      </c>
      <c r="J11" s="91">
        <f t="shared" si="6"/>
        <v>140529</v>
      </c>
      <c r="K11" s="80">
        <v>5.1988891E7</v>
      </c>
      <c r="L11" s="88">
        <f>SUMIFS('September-2026'!Z:Z,'September-2026'!$B:$B,$C$6,'September-2026'!$C:$C,$A:$A)</f>
        <v>52562754</v>
      </c>
      <c r="M11" s="91">
        <f t="shared" si="7"/>
        <v>573863</v>
      </c>
      <c r="N11" s="105">
        <f>SUMIFS('September-2026'!AB:AB,'September-2026'!$B:$B,$C$6,'September-2026'!$C:$C,$A:$A)</f>
        <v>96</v>
      </c>
      <c r="O11" s="88">
        <f>SUMIFS('September-2026'!Y:Y,'September-2026'!$B:$B,$C$6,'September-2026'!$C:$C,$A:$A)</f>
        <v>5753000</v>
      </c>
      <c r="P11" s="107">
        <v>473.0</v>
      </c>
      <c r="Q11" s="111">
        <f>SUMIFS('September-2026'!T:T,'September-2026'!$B:$B,$C$6,'September-2026'!$C:$C,$A:$A)</f>
        <v>424</v>
      </c>
      <c r="R11" s="112">
        <f t="shared" si="8"/>
        <v>49</v>
      </c>
      <c r="S11" s="80">
        <v>2473437.0</v>
      </c>
      <c r="T11" s="88">
        <f>SUMIFS('September-2026'!AA:AA,'September-2026'!$B:$B,$C$6,'September-2026'!$C:$C,$A:$A)</f>
        <v>3140817</v>
      </c>
      <c r="U11" s="119">
        <f t="shared" si="9"/>
        <v>667380</v>
      </c>
      <c r="V11" s="88">
        <f>SUMIFS('September-2026'!AC:AC,'September-2026'!$B:$B,$C$6,'September-2026'!$C:$C,$A:$A)</f>
        <v>776</v>
      </c>
      <c r="W11" s="88">
        <f>SUMIFS('September-2026'!AD:AD,'September-2026'!$B:$B,$C$6,'September-2026'!$C:$C,$A:$A)</f>
        <v>3051193</v>
      </c>
      <c r="X11" s="125">
        <f t="shared" si="10"/>
        <v>0.8964059197</v>
      </c>
      <c r="Y11" s="141">
        <f t="shared" si="11"/>
        <v>268</v>
      </c>
      <c r="Z11" s="166"/>
      <c r="AA11" s="129"/>
      <c r="AB11" s="129"/>
      <c r="AC11" s="129"/>
      <c r="AD11" s="129"/>
    </row>
    <row r="12" ht="37.5" customHeight="1">
      <c r="A12" s="167" t="s">
        <v>96</v>
      </c>
      <c r="B12" s="91">
        <f t="shared" ref="B12:M12" si="12">SUM(B7:B11)</f>
        <v>4321</v>
      </c>
      <c r="C12" s="91">
        <f t="shared" si="12"/>
        <v>4348</v>
      </c>
      <c r="D12" s="91">
        <f t="shared" si="12"/>
        <v>27</v>
      </c>
      <c r="E12" s="91">
        <f t="shared" si="12"/>
        <v>3537</v>
      </c>
      <c r="F12" s="91">
        <f t="shared" si="12"/>
        <v>3541</v>
      </c>
      <c r="G12" s="91">
        <f t="shared" si="12"/>
        <v>4</v>
      </c>
      <c r="H12" s="91">
        <f t="shared" si="12"/>
        <v>91360846</v>
      </c>
      <c r="I12" s="91">
        <f t="shared" si="12"/>
        <v>92713771</v>
      </c>
      <c r="J12" s="91">
        <f t="shared" si="12"/>
        <v>1352925</v>
      </c>
      <c r="K12" s="91">
        <f t="shared" si="12"/>
        <v>285860956</v>
      </c>
      <c r="L12" s="91">
        <f t="shared" si="12"/>
        <v>290729923</v>
      </c>
      <c r="M12" s="91">
        <f t="shared" si="12"/>
        <v>4868967</v>
      </c>
      <c r="N12" s="164">
        <f>AVERAGE(N7:N11)</f>
        <v>95.8</v>
      </c>
      <c r="O12" s="168">
        <f t="shared" ref="O12:W12" si="13">SUM(O7:O11)</f>
        <v>37164000</v>
      </c>
      <c r="P12" s="164">
        <f t="shared" si="13"/>
        <v>2732</v>
      </c>
      <c r="Q12" s="91">
        <f t="shared" si="13"/>
        <v>2579</v>
      </c>
      <c r="R12" s="164">
        <f t="shared" si="13"/>
        <v>153</v>
      </c>
      <c r="S12" s="91">
        <f t="shared" si="13"/>
        <v>13314588</v>
      </c>
      <c r="T12" s="91">
        <f t="shared" si="13"/>
        <v>15331171</v>
      </c>
      <c r="U12" s="91">
        <f t="shared" si="13"/>
        <v>2016583</v>
      </c>
      <c r="V12" s="91">
        <f t="shared" si="13"/>
        <v>19148</v>
      </c>
      <c r="W12" s="91">
        <f t="shared" si="13"/>
        <v>14826404</v>
      </c>
      <c r="X12" s="169">
        <f>AVERAGE(X7:X11)</f>
        <v>0.9429366836</v>
      </c>
      <c r="Y12" s="170">
        <f>SUM(Y7:Y11)</f>
        <v>717</v>
      </c>
      <c r="Z12" s="129"/>
      <c r="AA12" s="129"/>
      <c r="AB12" s="129"/>
      <c r="AC12" s="129"/>
      <c r="AD12" s="129"/>
    </row>
    <row r="13" hidden="1"/>
    <row r="14" ht="12.75" hidden="1" customHeight="1"/>
    <row r="15" ht="12.75" hidden="1" customHeight="1"/>
    <row r="16" ht="12.75" hidden="1" customHeight="1"/>
    <row r="17" hidden="1"/>
    <row r="18" ht="12.75" hidden="1" customHeight="1"/>
    <row r="19" ht="12.75" hidden="1" customHeight="1"/>
    <row r="20" ht="18.75" hidden="1" customHeight="1"/>
    <row r="21" ht="12.75" hidden="1" customHeight="1"/>
    <row r="22" ht="12.75" hidden="1" customHeight="1"/>
    <row r="23" ht="12.75" hidden="1" customHeight="1"/>
    <row r="24" ht="12.75" hidden="1" customHeight="1"/>
    <row r="25" ht="12.75" hidden="1" customHeight="1"/>
    <row r="26" ht="12.75" hidden="1" customHeight="1"/>
    <row r="27" ht="12.75" hidden="1" customHeight="1"/>
    <row r="28" ht="12.75" hidden="1" customHeight="1"/>
    <row r="29" ht="12.75" hidden="1" customHeight="1"/>
    <row r="30" ht="12.75" hidden="1" customHeight="1"/>
    <row r="31" ht="12.75" hidden="1" customHeight="1"/>
    <row r="32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  <row r="4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</sheetData>
  <mergeCells count="25">
    <mergeCell ref="S5:T5"/>
    <mergeCell ref="U5:U6"/>
    <mergeCell ref="X5:X6"/>
    <mergeCell ref="Y5:Y6"/>
    <mergeCell ref="B1:Y1"/>
    <mergeCell ref="B2:Y2"/>
    <mergeCell ref="B3:D3"/>
    <mergeCell ref="F3:G3"/>
    <mergeCell ref="Q4:R4"/>
    <mergeCell ref="S4:W4"/>
    <mergeCell ref="A5:A6"/>
    <mergeCell ref="B5:C5"/>
    <mergeCell ref="D5:D6"/>
    <mergeCell ref="E5:F5"/>
    <mergeCell ref="G5:G6"/>
    <mergeCell ref="H5:I5"/>
    <mergeCell ref="J5:J6"/>
    <mergeCell ref="K5:L5"/>
    <mergeCell ref="M5:M6"/>
    <mergeCell ref="N5:N6"/>
    <mergeCell ref="O5:O6"/>
    <mergeCell ref="P5:Q5"/>
    <mergeCell ref="R5:R6"/>
    <mergeCell ref="V5:V6"/>
    <mergeCell ref="W5:W6"/>
  </mergeCells>
  <conditionalFormatting sqref="Z1:AD2000 A2:A6 B2:C5 D2:D2000 E2:F5 G2:G2000 H2:I5 J2:J2000 K2:L5 M2:Y2000 B7:C2000 E7:F2000 H7:I2000 K7:L2000 A12:A2000">
    <cfRule type="cellIs" dxfId="0" priority="1" operator="lessThan">
      <formula>0</formula>
    </cfRule>
  </conditionalFormatting>
  <conditionalFormatting sqref="A7">
    <cfRule type="notContainsBlanks" dxfId="1" priority="2">
      <formula>LEN(TRIM(A7))&gt;0</formula>
    </cfRule>
  </conditionalFormatting>
  <printOptions/>
  <pageMargins bottom="0.0" footer="0.0" header="0.0" left="0.34002009845699827" right="0.46326915157792287" top="0.6856383443353259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75"/>
    <col customWidth="1" min="2" max="2" width="8.38"/>
    <col customWidth="1" min="3" max="3" width="5.75"/>
    <col customWidth="1" min="4" max="4" width="7.63"/>
    <col customWidth="1" min="5" max="5" width="5.0"/>
    <col customWidth="1" min="6" max="6" width="7.38"/>
    <col customWidth="1" min="7" max="7" width="10.25"/>
    <col customWidth="1" min="8" max="8" width="10.38"/>
    <col customWidth="1" min="9" max="9" width="10.75"/>
    <col customWidth="1" min="10" max="10" width="9.13"/>
    <col customWidth="1" min="11" max="11" width="9.63"/>
    <col customWidth="1" min="12" max="13" width="9.38"/>
    <col customWidth="1" min="14" max="14" width="8.38"/>
    <col customWidth="1" min="15" max="15" width="8.63"/>
    <col customWidth="1" min="16" max="16" width="8.0"/>
    <col customWidth="1" min="17" max="17" width="9.13"/>
    <col customWidth="1" min="18" max="18" width="8.0"/>
    <col customWidth="1" min="19" max="19" width="9.63"/>
    <col customWidth="1" min="20" max="21" width="9.13"/>
    <col customWidth="1" min="22" max="22" width="6.38"/>
    <col customWidth="1" min="23" max="23" width="9.13"/>
    <col customWidth="1" min="24" max="24" width="9.38"/>
    <col customWidth="1" hidden="1" min="25" max="30" width="8.0"/>
    <col customWidth="1" hidden="1" min="31" max="31" width="7.63"/>
  </cols>
  <sheetData>
    <row r="1" ht="61.5" customHeight="1">
      <c r="A1" s="2"/>
      <c r="B1" s="2"/>
      <c r="C1" s="2" t="s">
        <v>2</v>
      </c>
      <c r="X1" s="2"/>
      <c r="Y1" s="5"/>
      <c r="Z1" s="6"/>
      <c r="AA1" s="6"/>
      <c r="AB1" s="6"/>
      <c r="AC1" s="6"/>
      <c r="AD1" s="6"/>
      <c r="AE1" s="6"/>
    </row>
    <row r="2" ht="61.5" customHeight="1">
      <c r="A2" s="8"/>
      <c r="B2" s="8"/>
      <c r="C2" s="8" t="s">
        <v>8</v>
      </c>
      <c r="X2" s="8"/>
      <c r="Y2" s="10"/>
      <c r="Z2" s="6"/>
      <c r="AA2" s="6"/>
      <c r="AB2" s="6"/>
      <c r="AC2" s="6"/>
      <c r="AD2" s="6"/>
      <c r="AE2" s="6"/>
    </row>
    <row r="3" ht="28.5" customHeight="1">
      <c r="C3" s="12" t="s">
        <v>11</v>
      </c>
      <c r="D3" s="14"/>
      <c r="E3" s="14"/>
      <c r="F3" s="14"/>
      <c r="G3" s="14"/>
      <c r="H3" s="15"/>
      <c r="M3" s="16" t="s">
        <v>15</v>
      </c>
      <c r="N3" s="18"/>
      <c r="O3" s="18"/>
      <c r="P3" s="18"/>
      <c r="Q3" s="18" t="s">
        <v>17</v>
      </c>
      <c r="R3" s="18"/>
      <c r="S3" s="18"/>
      <c r="T3" s="18"/>
      <c r="U3" s="18"/>
      <c r="V3" s="18"/>
      <c r="W3" s="18"/>
      <c r="X3" s="18"/>
      <c r="Y3" s="18"/>
      <c r="Z3" s="18"/>
      <c r="AA3" s="22" t="s">
        <v>19</v>
      </c>
      <c r="AB3" s="23"/>
      <c r="AC3" s="18"/>
      <c r="AD3" s="18"/>
      <c r="AE3" s="18"/>
    </row>
    <row r="4" ht="29.25" customHeight="1">
      <c r="A4" s="24" t="s">
        <v>21</v>
      </c>
      <c r="B4" s="24" t="s">
        <v>14</v>
      </c>
      <c r="C4" s="24" t="s">
        <v>23</v>
      </c>
      <c r="D4" s="27" t="s">
        <v>25</v>
      </c>
      <c r="E4" s="15"/>
      <c r="F4" s="27" t="s">
        <v>29</v>
      </c>
      <c r="G4" s="15"/>
      <c r="H4" s="27" t="s">
        <v>30</v>
      </c>
      <c r="I4" s="15"/>
      <c r="J4" s="27" t="s">
        <v>32</v>
      </c>
      <c r="K4" s="15"/>
      <c r="L4" s="27" t="s">
        <v>33</v>
      </c>
      <c r="M4" s="15"/>
      <c r="N4" s="27" t="s">
        <v>34</v>
      </c>
      <c r="O4" s="15"/>
      <c r="P4" s="24" t="s">
        <v>35</v>
      </c>
      <c r="Q4" s="24" t="s">
        <v>36</v>
      </c>
      <c r="R4" s="24" t="s">
        <v>37</v>
      </c>
      <c r="S4" s="27" t="s">
        <v>38</v>
      </c>
      <c r="T4" s="14"/>
      <c r="U4" s="14"/>
      <c r="V4" s="27" t="s">
        <v>39</v>
      </c>
      <c r="W4" s="15"/>
      <c r="Y4" s="18"/>
      <c r="Z4" s="6"/>
      <c r="AA4" s="6"/>
      <c r="AB4" s="6"/>
      <c r="AC4" s="6"/>
      <c r="AD4" s="6"/>
      <c r="AE4" s="6"/>
    </row>
    <row r="5" ht="31.5" customHeight="1">
      <c r="A5" s="25"/>
      <c r="B5" s="35"/>
      <c r="C5" s="25"/>
      <c r="D5" s="36" t="s">
        <v>35</v>
      </c>
      <c r="E5" s="36" t="s">
        <v>28</v>
      </c>
      <c r="F5" s="36" t="s">
        <v>35</v>
      </c>
      <c r="G5" s="36" t="s">
        <v>28</v>
      </c>
      <c r="H5" s="36" t="s">
        <v>35</v>
      </c>
      <c r="I5" s="36" t="s">
        <v>28</v>
      </c>
      <c r="J5" s="36" t="s">
        <v>35</v>
      </c>
      <c r="K5" s="36" t="s">
        <v>28</v>
      </c>
      <c r="L5" s="36" t="s">
        <v>35</v>
      </c>
      <c r="M5" s="36" t="s">
        <v>28</v>
      </c>
      <c r="N5" s="36" t="s">
        <v>41</v>
      </c>
      <c r="O5" s="36" t="s">
        <v>43</v>
      </c>
      <c r="P5" s="25"/>
      <c r="Q5" s="25"/>
      <c r="R5" s="25"/>
      <c r="S5" s="36" t="s">
        <v>45</v>
      </c>
      <c r="T5" s="36" t="s">
        <v>46</v>
      </c>
      <c r="U5" s="36" t="s">
        <v>48</v>
      </c>
      <c r="V5" s="36" t="s">
        <v>42</v>
      </c>
      <c r="W5" s="36" t="s">
        <v>44</v>
      </c>
      <c r="Y5" s="5"/>
      <c r="Z5" s="6"/>
      <c r="AA5" s="6"/>
      <c r="AB5" s="6"/>
      <c r="AC5" s="6"/>
      <c r="AD5" s="6"/>
      <c r="AE5" s="6"/>
    </row>
    <row r="6" ht="30.0" customHeight="1">
      <c r="A6" s="39">
        <v>1.0</v>
      </c>
      <c r="B6" s="45" t="s">
        <v>56</v>
      </c>
      <c r="C6" s="47">
        <v>57.0</v>
      </c>
      <c r="D6" s="47">
        <v>15.0</v>
      </c>
      <c r="E6" s="47">
        <v>858.0</v>
      </c>
      <c r="F6" s="48">
        <v>5.0</v>
      </c>
      <c r="G6" s="47">
        <v>705.0</v>
      </c>
      <c r="H6" s="49">
        <v>342499.0</v>
      </c>
      <c r="I6" s="51">
        <v>1.744881E7</v>
      </c>
      <c r="J6" s="52">
        <v>-90475.0</v>
      </c>
      <c r="K6" s="52">
        <v>6.0666312E7</v>
      </c>
      <c r="L6" s="47">
        <v>36772.0</v>
      </c>
      <c r="M6" s="47">
        <v>2770418.0</v>
      </c>
      <c r="N6" s="53">
        <v>98.7731454604367</v>
      </c>
      <c r="O6" s="53">
        <v>98.92</v>
      </c>
      <c r="P6" s="53">
        <f t="shared" ref="P6:P11" si="1">O6-N6</f>
        <v>0.1468545396</v>
      </c>
      <c r="Q6" s="47">
        <v>60300.0</v>
      </c>
      <c r="R6" s="47">
        <v>450218.0</v>
      </c>
      <c r="S6" s="59">
        <v>-86419.0</v>
      </c>
      <c r="T6" s="59">
        <v>-35645.0</v>
      </c>
      <c r="U6" s="47">
        <v>3260735.0</v>
      </c>
      <c r="V6" s="47">
        <v>43.0</v>
      </c>
      <c r="W6" s="47">
        <v>6430000.0</v>
      </c>
      <c r="Y6" s="5"/>
      <c r="Z6" s="6"/>
      <c r="AA6" s="6"/>
      <c r="AB6" s="6"/>
      <c r="AC6" s="6"/>
      <c r="AD6" s="6"/>
      <c r="AE6" s="6"/>
    </row>
    <row r="7" ht="30.0" customHeight="1">
      <c r="A7" s="39">
        <v>2.0</v>
      </c>
      <c r="B7" s="61" t="s">
        <v>76</v>
      </c>
      <c r="C7" s="47">
        <v>63.0</v>
      </c>
      <c r="D7" s="47">
        <v>7.0</v>
      </c>
      <c r="E7" s="47">
        <v>873.0</v>
      </c>
      <c r="F7" s="48">
        <v>-5.0</v>
      </c>
      <c r="G7" s="47">
        <v>686.0</v>
      </c>
      <c r="H7" s="62">
        <v>305552.0</v>
      </c>
      <c r="I7" s="47">
        <v>1.5480081E7</v>
      </c>
      <c r="J7" s="52">
        <v>531913.0</v>
      </c>
      <c r="K7" s="52">
        <v>5.1742527E7</v>
      </c>
      <c r="L7" s="47">
        <v>-6005.0</v>
      </c>
      <c r="M7" s="47">
        <v>2838342.0</v>
      </c>
      <c r="N7" s="53">
        <v>99.66088396235553</v>
      </c>
      <c r="O7" s="53">
        <f>IFERROR(I17/H17%, 0)</f>
        <v>99.38011914</v>
      </c>
      <c r="P7" s="53">
        <f t="shared" si="1"/>
        <v>-0.2807648251</v>
      </c>
      <c r="Q7" s="47">
        <v>22310.0</v>
      </c>
      <c r="R7" s="47">
        <v>122923.0</v>
      </c>
      <c r="S7" s="59">
        <v>100929.0</v>
      </c>
      <c r="T7" s="47">
        <v>301241.0</v>
      </c>
      <c r="U7" s="47">
        <v>9212964.0</v>
      </c>
      <c r="V7" s="47">
        <v>35.0</v>
      </c>
      <c r="W7" s="47">
        <v>6450000.0</v>
      </c>
      <c r="Y7" s="5"/>
      <c r="Z7" s="6"/>
      <c r="AA7" s="6"/>
      <c r="AB7" s="6"/>
      <c r="AC7" s="6"/>
      <c r="AD7" s="6"/>
      <c r="AE7" s="6"/>
    </row>
    <row r="8" ht="30.75" customHeight="1">
      <c r="A8" s="39">
        <v>3.0</v>
      </c>
      <c r="B8" s="61" t="s">
        <v>83</v>
      </c>
      <c r="C8" s="47">
        <v>68.0</v>
      </c>
      <c r="D8" s="47">
        <v>7.0</v>
      </c>
      <c r="E8" s="47">
        <v>780.0</v>
      </c>
      <c r="F8" s="48">
        <v>-1.0</v>
      </c>
      <c r="G8" s="47">
        <v>640.0</v>
      </c>
      <c r="H8" s="62">
        <v>378324.0</v>
      </c>
      <c r="I8" s="47">
        <v>1.9409733E7</v>
      </c>
      <c r="J8" s="52">
        <v>285393.0</v>
      </c>
      <c r="K8" s="52">
        <v>5.393016E7</v>
      </c>
      <c r="L8" s="47">
        <v>19948.0</v>
      </c>
      <c r="M8" s="47">
        <v>2632579.0</v>
      </c>
      <c r="N8" s="53">
        <v>99.1091164805482</v>
      </c>
      <c r="O8" s="53">
        <v>99.19</v>
      </c>
      <c r="P8" s="53">
        <f t="shared" si="1"/>
        <v>0.08088351945</v>
      </c>
      <c r="Q8" s="47">
        <v>36500.0</v>
      </c>
      <c r="R8" s="47">
        <v>110301.0</v>
      </c>
      <c r="S8" s="59">
        <v>161853.0</v>
      </c>
      <c r="T8" s="47">
        <v>472170.0</v>
      </c>
      <c r="U8" s="47">
        <v>1.0861662E7</v>
      </c>
      <c r="V8" s="47">
        <v>44.0</v>
      </c>
      <c r="W8" s="47">
        <v>6570000.0</v>
      </c>
      <c r="Y8" s="5"/>
      <c r="Z8" s="6"/>
      <c r="AA8" s="6"/>
      <c r="AB8" s="6"/>
      <c r="AC8" s="6"/>
      <c r="AD8" s="6"/>
      <c r="AE8" s="6"/>
    </row>
    <row r="9" ht="30.0" customHeight="1">
      <c r="A9" s="39">
        <v>4.0</v>
      </c>
      <c r="B9" s="61" t="s">
        <v>87</v>
      </c>
      <c r="C9" s="47">
        <v>60.0</v>
      </c>
      <c r="D9" s="47">
        <v>13.0</v>
      </c>
      <c r="E9" s="47">
        <v>913.0</v>
      </c>
      <c r="F9" s="48">
        <v>3.0</v>
      </c>
      <c r="G9" s="47">
        <v>765.0</v>
      </c>
      <c r="H9" s="62">
        <v>410331.0</v>
      </c>
      <c r="I9" s="47">
        <v>2.2755262E7</v>
      </c>
      <c r="J9" s="52">
        <v>-642522.0</v>
      </c>
      <c r="K9" s="52">
        <v>6.7533066E7</v>
      </c>
      <c r="L9" s="47">
        <v>36038.0</v>
      </c>
      <c r="M9" s="47">
        <v>2599812.0</v>
      </c>
      <c r="N9" s="53">
        <v>99.00825633731104</v>
      </c>
      <c r="O9" s="53">
        <f t="shared" ref="O9:O10" si="2">IFERROR(I19/H19%, 0)</f>
        <v>98.89234299</v>
      </c>
      <c r="P9" s="53">
        <f t="shared" si="1"/>
        <v>-0.1159133438</v>
      </c>
      <c r="Q9" s="47">
        <v>28056.0</v>
      </c>
      <c r="R9" s="47">
        <v>629117.0</v>
      </c>
      <c r="S9" s="59">
        <v>219338.0</v>
      </c>
      <c r="T9" s="47">
        <v>481712.0</v>
      </c>
      <c r="U9" s="47">
        <v>4638415.0</v>
      </c>
      <c r="V9" s="47">
        <v>55.0</v>
      </c>
      <c r="W9" s="47">
        <v>7645000.0</v>
      </c>
      <c r="Y9" s="5"/>
      <c r="Z9" s="6"/>
      <c r="AA9" s="6"/>
      <c r="AB9" s="6"/>
      <c r="AC9" s="6"/>
      <c r="AD9" s="6"/>
      <c r="AE9" s="6"/>
    </row>
    <row r="10" ht="29.25" customHeight="1">
      <c r="A10" s="39">
        <v>5.0</v>
      </c>
      <c r="B10" s="61" t="s">
        <v>91</v>
      </c>
      <c r="C10" s="47">
        <v>72.0</v>
      </c>
      <c r="D10" s="47">
        <v>4.0</v>
      </c>
      <c r="E10" s="47">
        <v>897.0</v>
      </c>
      <c r="F10" s="47">
        <v>-6.0</v>
      </c>
      <c r="G10" s="47">
        <v>741.0</v>
      </c>
      <c r="H10" s="47">
        <v>289524.0</v>
      </c>
      <c r="I10" s="47">
        <v>1.626696E7</v>
      </c>
      <c r="J10" s="47">
        <v>504518.0</v>
      </c>
      <c r="K10" s="47">
        <v>5.1988891E7</v>
      </c>
      <c r="L10" s="47">
        <v>-5618.0</v>
      </c>
      <c r="M10" s="47">
        <v>2473437.0</v>
      </c>
      <c r="N10" s="53">
        <v>99.40415313155495</v>
      </c>
      <c r="O10" s="53">
        <f t="shared" si="2"/>
        <v>99.40001476</v>
      </c>
      <c r="P10" s="53">
        <f t="shared" si="1"/>
        <v>-0.00413836783</v>
      </c>
      <c r="Q10" s="47">
        <v>49024.0</v>
      </c>
      <c r="R10" s="74">
        <v>856425.0</v>
      </c>
      <c r="S10" s="59">
        <v>163803.0</v>
      </c>
      <c r="T10" s="47">
        <v>448978.0</v>
      </c>
      <c r="U10" s="47">
        <v>1.7279883E7</v>
      </c>
      <c r="V10" s="47">
        <v>43.0</v>
      </c>
      <c r="W10" s="47">
        <v>6280000.0</v>
      </c>
      <c r="Y10" s="5"/>
      <c r="Z10" s="6"/>
      <c r="AA10" s="6"/>
      <c r="AB10" s="6"/>
      <c r="AC10" s="6"/>
      <c r="AD10" s="6"/>
      <c r="AE10" s="6"/>
    </row>
    <row r="11" ht="30.75" customHeight="1">
      <c r="A11" s="39"/>
      <c r="B11" s="61" t="s">
        <v>98</v>
      </c>
      <c r="C11" s="78">
        <f t="shared" ref="C11:M11" si="3">SUM(C6:C10)</f>
        <v>320</v>
      </c>
      <c r="D11" s="78">
        <f t="shared" si="3"/>
        <v>46</v>
      </c>
      <c r="E11" s="78">
        <f t="shared" si="3"/>
        <v>4321</v>
      </c>
      <c r="F11" s="78">
        <f t="shared" si="3"/>
        <v>-4</v>
      </c>
      <c r="G11" s="78">
        <f t="shared" si="3"/>
        <v>3537</v>
      </c>
      <c r="H11" s="78">
        <f t="shared" si="3"/>
        <v>1726230</v>
      </c>
      <c r="I11" s="78">
        <f t="shared" si="3"/>
        <v>91360846</v>
      </c>
      <c r="J11" s="83">
        <f t="shared" si="3"/>
        <v>588827</v>
      </c>
      <c r="K11" s="83">
        <f t="shared" si="3"/>
        <v>285860956</v>
      </c>
      <c r="L11" s="78">
        <f t="shared" si="3"/>
        <v>81135</v>
      </c>
      <c r="M11" s="78">
        <f t="shared" si="3"/>
        <v>13314588</v>
      </c>
      <c r="N11" s="53">
        <f t="shared" ref="N11:O11" si="4">AVERAGE(N6:N10)</f>
        <v>99.19111107</v>
      </c>
      <c r="O11" s="53">
        <f t="shared" si="4"/>
        <v>99.15649538</v>
      </c>
      <c r="P11" s="53">
        <f t="shared" si="1"/>
        <v>-0.03461569556</v>
      </c>
      <c r="Q11" s="78">
        <f t="shared" ref="Q11:W11" si="5">SUM(Q6:Q10)</f>
        <v>196190</v>
      </c>
      <c r="R11" s="78">
        <f t="shared" si="5"/>
        <v>2168984</v>
      </c>
      <c r="S11" s="92">
        <f t="shared" si="5"/>
        <v>559504</v>
      </c>
      <c r="T11" s="92">
        <f t="shared" si="5"/>
        <v>1668456</v>
      </c>
      <c r="U11" s="78">
        <f t="shared" si="5"/>
        <v>45253659</v>
      </c>
      <c r="V11" s="78">
        <f t="shared" si="5"/>
        <v>220</v>
      </c>
      <c r="W11" s="78">
        <f t="shared" si="5"/>
        <v>33375000</v>
      </c>
      <c r="Y11" s="5"/>
      <c r="Z11" s="6"/>
      <c r="AA11" s="6"/>
      <c r="AB11" s="6"/>
      <c r="AC11" s="6"/>
      <c r="AD11" s="6"/>
      <c r="AE11" s="6"/>
    </row>
    <row r="12" ht="30.0" hidden="1" customHeight="1">
      <c r="A12" s="96"/>
      <c r="B12" s="98"/>
      <c r="C12" s="96" t="s">
        <v>116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5"/>
      <c r="Y12" s="5"/>
      <c r="Z12" s="6"/>
      <c r="AA12" s="6"/>
      <c r="AB12" s="6"/>
      <c r="AC12" s="6"/>
      <c r="AD12" s="6"/>
      <c r="AE12" s="6"/>
    </row>
    <row r="13" ht="15.75" customHeight="1">
      <c r="A13" s="5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6"/>
      <c r="T13" s="6"/>
      <c r="U13" s="6"/>
      <c r="V13" s="99"/>
      <c r="W13" s="5"/>
      <c r="X13" s="5"/>
      <c r="Y13" s="5"/>
      <c r="Z13" s="6"/>
      <c r="AA13" s="6"/>
      <c r="AB13" s="6"/>
      <c r="AC13" s="6"/>
      <c r="AD13" s="6"/>
      <c r="AE13" s="6"/>
    </row>
    <row r="14" ht="26.25" customHeight="1">
      <c r="A14" s="5"/>
      <c r="B14" s="24" t="s">
        <v>117</v>
      </c>
      <c r="C14" s="24" t="s">
        <v>42</v>
      </c>
      <c r="D14" s="103" t="s">
        <v>118</v>
      </c>
      <c r="E14" s="104" t="s">
        <v>120</v>
      </c>
      <c r="G14" s="24" t="s">
        <v>117</v>
      </c>
      <c r="H14" s="24" t="s">
        <v>121</v>
      </c>
      <c r="I14" s="24" t="s">
        <v>122</v>
      </c>
      <c r="J14" s="24" t="s">
        <v>34</v>
      </c>
      <c r="K14" s="24" t="s">
        <v>124</v>
      </c>
      <c r="L14" s="24" t="s">
        <v>125</v>
      </c>
      <c r="M14" s="24" t="s">
        <v>126</v>
      </c>
      <c r="N14" s="24" t="s">
        <v>127</v>
      </c>
      <c r="O14" s="24" t="s">
        <v>129</v>
      </c>
      <c r="P14" s="24" t="s">
        <v>35</v>
      </c>
      <c r="Q14" s="114" t="s">
        <v>130</v>
      </c>
      <c r="R14" s="27" t="s">
        <v>131</v>
      </c>
      <c r="S14" s="14"/>
      <c r="T14" s="24" t="s">
        <v>35</v>
      </c>
      <c r="U14" s="24" t="s">
        <v>132</v>
      </c>
      <c r="X14" s="6"/>
      <c r="Y14" s="5"/>
      <c r="Z14" s="6"/>
      <c r="AA14" s="6"/>
      <c r="AB14" s="6"/>
      <c r="AC14" s="6"/>
      <c r="AD14" s="6"/>
      <c r="AE14" s="6"/>
    </row>
    <row r="15" ht="37.5" customHeight="1">
      <c r="A15" s="6"/>
      <c r="B15" s="35"/>
      <c r="C15" s="25"/>
      <c r="D15" s="86"/>
      <c r="E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36" t="s">
        <v>133</v>
      </c>
      <c r="S15" s="36" t="s">
        <v>134</v>
      </c>
      <c r="T15" s="25"/>
      <c r="U15" s="25"/>
      <c r="X15" s="6"/>
      <c r="Y15" s="6"/>
      <c r="Z15" s="6"/>
      <c r="AA15" s="6"/>
      <c r="AB15" s="6"/>
      <c r="AC15" s="6"/>
      <c r="AD15" s="6"/>
      <c r="AE15" s="6"/>
    </row>
    <row r="16" ht="27.75" customHeight="1">
      <c r="A16" s="123"/>
      <c r="B16" s="45" t="s">
        <v>56</v>
      </c>
      <c r="C16" s="124"/>
      <c r="D16" s="126"/>
      <c r="E16" s="128"/>
      <c r="G16" s="130" t="s">
        <v>56</v>
      </c>
      <c r="H16" s="131">
        <v>6487575.0</v>
      </c>
      <c r="I16" s="131">
        <v>6418086.0</v>
      </c>
      <c r="J16" s="53">
        <f t="shared" ref="J16:J20" si="6">IFERROR(I16/H16%, 0)</f>
        <v>98.928891</v>
      </c>
      <c r="K16" s="132">
        <v>0.0587</v>
      </c>
      <c r="L16" s="134">
        <v>0.0571</v>
      </c>
      <c r="M16" s="131">
        <v>516.0</v>
      </c>
      <c r="N16" s="78">
        <v>91.0</v>
      </c>
      <c r="O16" s="131">
        <v>89.0</v>
      </c>
      <c r="P16" s="78">
        <f t="shared" ref="P16:P20" si="7">O16-N16</f>
        <v>-2</v>
      </c>
      <c r="Q16" s="135"/>
      <c r="R16" s="78">
        <v>12.0</v>
      </c>
      <c r="S16" s="131">
        <v>12.0</v>
      </c>
      <c r="T16" s="78">
        <f t="shared" ref="T16:T20" si="8">S16-R16</f>
        <v>0</v>
      </c>
      <c r="U16" s="135">
        <v>0.0</v>
      </c>
      <c r="X16" s="6"/>
      <c r="Y16" s="123"/>
      <c r="Z16" s="6"/>
      <c r="AA16" s="6"/>
      <c r="AB16" s="6"/>
      <c r="AC16" s="6"/>
      <c r="AD16" s="6"/>
      <c r="AE16" s="6"/>
    </row>
    <row r="17" ht="27.75" customHeight="1">
      <c r="A17" s="123"/>
      <c r="B17" s="61" t="s">
        <v>76</v>
      </c>
      <c r="C17" s="124"/>
      <c r="D17" s="126"/>
      <c r="E17" s="128"/>
      <c r="G17" s="137" t="s">
        <v>76</v>
      </c>
      <c r="H17" s="131">
        <v>5869031.0</v>
      </c>
      <c r="I17" s="131">
        <v>5832650.0</v>
      </c>
      <c r="J17" s="53">
        <f t="shared" si="6"/>
        <v>99.38011914</v>
      </c>
      <c r="K17" s="132">
        <v>0.0591</v>
      </c>
      <c r="L17" s="134">
        <v>0.0611</v>
      </c>
      <c r="M17" s="131">
        <v>50.0</v>
      </c>
      <c r="N17" s="78">
        <v>141.0</v>
      </c>
      <c r="O17" s="131">
        <v>143.0</v>
      </c>
      <c r="P17" s="78">
        <f t="shared" si="7"/>
        <v>2</v>
      </c>
      <c r="Q17" s="135"/>
      <c r="R17" s="78">
        <v>4.0</v>
      </c>
      <c r="S17" s="131">
        <v>4.0</v>
      </c>
      <c r="T17" s="78">
        <f t="shared" si="8"/>
        <v>0</v>
      </c>
      <c r="U17" s="135">
        <v>2.0</v>
      </c>
      <c r="X17" s="6"/>
      <c r="Y17" s="123"/>
      <c r="Z17" s="6"/>
      <c r="AA17" s="6"/>
      <c r="AB17" s="6"/>
      <c r="AC17" s="6"/>
      <c r="AD17" s="6"/>
      <c r="AE17" s="6"/>
    </row>
    <row r="18" ht="27.75" customHeight="1">
      <c r="A18" s="123"/>
      <c r="B18" s="61" t="s">
        <v>83</v>
      </c>
      <c r="C18" s="124"/>
      <c r="D18" s="126"/>
      <c r="E18" s="128"/>
      <c r="G18" s="137" t="s">
        <v>83</v>
      </c>
      <c r="H18" s="131">
        <v>6266209.0</v>
      </c>
      <c r="I18" s="131">
        <v>6215591.0</v>
      </c>
      <c r="J18" s="53">
        <f t="shared" si="6"/>
        <v>99.19220696</v>
      </c>
      <c r="K18" s="132">
        <v>0.0576</v>
      </c>
      <c r="L18" s="134">
        <v>0.0564</v>
      </c>
      <c r="M18" s="131">
        <v>0.0</v>
      </c>
      <c r="N18" s="78">
        <v>70.0</v>
      </c>
      <c r="O18" s="131">
        <v>69.0</v>
      </c>
      <c r="P18" s="78">
        <f t="shared" si="7"/>
        <v>-1</v>
      </c>
      <c r="Q18" s="135"/>
      <c r="R18" s="78">
        <v>8.0</v>
      </c>
      <c r="S18" s="131">
        <v>9.0</v>
      </c>
      <c r="T18" s="78">
        <f t="shared" si="8"/>
        <v>1</v>
      </c>
      <c r="U18" s="135">
        <v>1.0</v>
      </c>
      <c r="X18" s="6"/>
      <c r="Y18" s="123"/>
      <c r="Z18" s="6"/>
      <c r="AA18" s="6"/>
      <c r="AB18" s="6"/>
      <c r="AC18" s="6"/>
      <c r="AD18" s="6"/>
      <c r="AE18" s="6"/>
    </row>
    <row r="19" ht="29.25" customHeight="1">
      <c r="A19" s="123"/>
      <c r="B19" s="61" t="s">
        <v>87</v>
      </c>
      <c r="C19" s="124"/>
      <c r="D19" s="126"/>
      <c r="E19" s="128"/>
      <c r="G19" s="137" t="s">
        <v>87</v>
      </c>
      <c r="H19" s="131">
        <v>8188004.0</v>
      </c>
      <c r="I19" s="131">
        <v>8097309.0</v>
      </c>
      <c r="J19" s="53">
        <f t="shared" si="6"/>
        <v>98.89234299</v>
      </c>
      <c r="K19" s="132">
        <v>0.0486</v>
      </c>
      <c r="L19" s="134">
        <v>0.0482</v>
      </c>
      <c r="M19" s="131">
        <v>0.0</v>
      </c>
      <c r="N19" s="78">
        <v>97.0</v>
      </c>
      <c r="O19" s="131">
        <v>97.0</v>
      </c>
      <c r="P19" s="78">
        <f t="shared" si="7"/>
        <v>0</v>
      </c>
      <c r="Q19" s="135"/>
      <c r="R19" s="78">
        <v>14.0</v>
      </c>
      <c r="S19" s="131">
        <v>10.0</v>
      </c>
      <c r="T19" s="78">
        <f t="shared" si="8"/>
        <v>-4</v>
      </c>
      <c r="U19" s="131">
        <v>2.0</v>
      </c>
      <c r="X19" s="6"/>
      <c r="Y19" s="123"/>
      <c r="Z19" s="6"/>
      <c r="AA19" s="6"/>
      <c r="AB19" s="6"/>
      <c r="AC19" s="6"/>
      <c r="AD19" s="6"/>
      <c r="AE19" s="6"/>
    </row>
    <row r="20" ht="27.75" customHeight="1">
      <c r="A20" s="123"/>
      <c r="B20" s="61" t="s">
        <v>91</v>
      </c>
      <c r="C20" s="124"/>
      <c r="D20" s="126"/>
      <c r="E20" s="128"/>
      <c r="G20" s="137" t="s">
        <v>91</v>
      </c>
      <c r="H20" s="131">
        <v>5743808.0</v>
      </c>
      <c r="I20" s="131">
        <v>5709346.0</v>
      </c>
      <c r="J20" s="53">
        <f t="shared" si="6"/>
        <v>99.40001476</v>
      </c>
      <c r="K20" s="132">
        <v>0.0552</v>
      </c>
      <c r="L20" s="134">
        <v>0.0533</v>
      </c>
      <c r="M20" s="131">
        <v>1700.0</v>
      </c>
      <c r="N20" s="78">
        <v>119.0</v>
      </c>
      <c r="O20" s="131">
        <v>117.0</v>
      </c>
      <c r="P20" s="78">
        <f t="shared" si="7"/>
        <v>-2</v>
      </c>
      <c r="Q20" s="135">
        <v>0.0</v>
      </c>
      <c r="R20" s="78">
        <v>6.0</v>
      </c>
      <c r="S20" s="131">
        <v>6.0</v>
      </c>
      <c r="T20" s="78">
        <f t="shared" si="8"/>
        <v>0</v>
      </c>
      <c r="U20" s="131">
        <v>0.0</v>
      </c>
      <c r="X20" s="6"/>
      <c r="Y20" s="123"/>
      <c r="Z20" s="6"/>
      <c r="AA20" s="6"/>
      <c r="AB20" s="6"/>
      <c r="AC20" s="6"/>
      <c r="AD20" s="6"/>
      <c r="AE20" s="6"/>
    </row>
    <row r="21" ht="31.5" customHeight="1">
      <c r="A21" s="123"/>
      <c r="B21" s="61" t="s">
        <v>98</v>
      </c>
      <c r="C21" s="78">
        <f t="shared" ref="C21:E21" si="9">SUM(C16:C20)</f>
        <v>0</v>
      </c>
      <c r="D21" s="143">
        <f t="shared" si="9"/>
        <v>0</v>
      </c>
      <c r="E21" s="78">
        <f t="shared" si="9"/>
        <v>0</v>
      </c>
      <c r="G21" s="137" t="s">
        <v>98</v>
      </c>
      <c r="H21" s="78">
        <f t="shared" ref="H21:I21" si="10">SUM(H16:H20)</f>
        <v>32554627</v>
      </c>
      <c r="I21" s="78">
        <f t="shared" si="10"/>
        <v>32272982</v>
      </c>
      <c r="J21" s="53">
        <f t="shared" ref="J21:K21" si="11">AVERAGE(J16:J20)</f>
        <v>99.15871497</v>
      </c>
      <c r="K21" s="132">
        <f t="shared" si="11"/>
        <v>0.05584</v>
      </c>
      <c r="L21" s="132">
        <f>IFERROR(AVERAGE(L16:L20), "")</f>
        <v>0.05522</v>
      </c>
      <c r="M21" s="78">
        <f t="shared" ref="M21:U21" si="12">SUM(M16:M20)</f>
        <v>2266</v>
      </c>
      <c r="N21" s="78">
        <f t="shared" si="12"/>
        <v>518</v>
      </c>
      <c r="O21" s="78">
        <f t="shared" si="12"/>
        <v>515</v>
      </c>
      <c r="P21" s="78">
        <f t="shared" si="12"/>
        <v>-3</v>
      </c>
      <c r="Q21" s="78">
        <f t="shared" si="12"/>
        <v>0</v>
      </c>
      <c r="R21" s="78">
        <f t="shared" si="12"/>
        <v>44</v>
      </c>
      <c r="S21" s="78">
        <f t="shared" si="12"/>
        <v>41</v>
      </c>
      <c r="T21" s="78">
        <f t="shared" si="12"/>
        <v>-3</v>
      </c>
      <c r="U21" s="78">
        <f t="shared" si="12"/>
        <v>5</v>
      </c>
      <c r="X21" s="6"/>
      <c r="Y21" s="123"/>
      <c r="Z21" s="6"/>
      <c r="AA21" s="6"/>
      <c r="AB21" s="6"/>
      <c r="AC21" s="6"/>
      <c r="AD21" s="6"/>
      <c r="AE21" s="6"/>
    </row>
    <row r="22" ht="28.5" hidden="1" customHeight="1">
      <c r="A22" s="58"/>
      <c r="B22" s="146"/>
      <c r="C22" s="58" t="s">
        <v>116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147"/>
      <c r="W22" s="147"/>
      <c r="X22" s="6"/>
      <c r="Y22" s="6"/>
      <c r="Z22" s="6"/>
      <c r="AA22" s="6"/>
      <c r="AB22" s="6"/>
      <c r="AC22" s="6"/>
      <c r="AD22" s="6"/>
      <c r="AE22" s="6"/>
    </row>
    <row r="23" ht="27.0" customHeight="1">
      <c r="A23" s="123"/>
      <c r="B23" s="148"/>
      <c r="C23" s="148"/>
      <c r="D23" s="148"/>
      <c r="E23" s="148"/>
      <c r="F23" s="148"/>
      <c r="G23" s="148"/>
      <c r="H23" s="149"/>
      <c r="J23" s="149" t="s">
        <v>135</v>
      </c>
      <c r="L23" s="10"/>
      <c r="M23" s="10"/>
      <c r="N23" s="10"/>
      <c r="O23" s="150"/>
      <c r="P23" s="6"/>
      <c r="Q23" s="6"/>
      <c r="R23" s="6"/>
      <c r="S23" s="6"/>
      <c r="T23" s="6"/>
      <c r="U23" s="6"/>
      <c r="V23" s="6"/>
      <c r="W23" s="6"/>
      <c r="X23" s="123"/>
      <c r="Y23" s="6"/>
      <c r="Z23" s="6"/>
      <c r="AA23" s="6"/>
      <c r="AB23" s="6"/>
      <c r="AC23" s="6"/>
      <c r="AD23" s="6"/>
      <c r="AE23" s="6"/>
    </row>
    <row r="24" ht="28.5" customHeight="1">
      <c r="A24" s="6"/>
      <c r="B24" s="151" t="s">
        <v>117</v>
      </c>
      <c r="C24" s="151" t="s">
        <v>42</v>
      </c>
      <c r="D24" s="153" t="s">
        <v>136</v>
      </c>
      <c r="E24" s="154"/>
      <c r="F24" s="155" t="s">
        <v>137</v>
      </c>
      <c r="G24" s="14"/>
      <c r="H24" s="14"/>
      <c r="I24" s="15"/>
      <c r="J24" s="156" t="s">
        <v>138</v>
      </c>
      <c r="K24" s="15"/>
      <c r="L24" s="156" t="s">
        <v>139</v>
      </c>
      <c r="M24" s="15"/>
      <c r="O24" s="27" t="s">
        <v>140</v>
      </c>
      <c r="P24" s="14"/>
      <c r="Q24" s="15"/>
      <c r="R24" s="27" t="s">
        <v>141</v>
      </c>
      <c r="S24" s="15"/>
      <c r="T24" s="27" t="s">
        <v>142</v>
      </c>
      <c r="U24" s="15"/>
      <c r="X24" s="123"/>
      <c r="Y24" s="6"/>
      <c r="Z24" s="6"/>
      <c r="AA24" s="6"/>
      <c r="AB24" s="6"/>
      <c r="AC24" s="6"/>
      <c r="AD24" s="6"/>
      <c r="AE24" s="6"/>
    </row>
    <row r="25">
      <c r="A25" s="6"/>
      <c r="B25" s="157"/>
      <c r="C25" s="25"/>
      <c r="D25" s="25"/>
      <c r="E25" s="154"/>
      <c r="F25" s="158" t="s">
        <v>117</v>
      </c>
      <c r="G25" s="158" t="s">
        <v>133</v>
      </c>
      <c r="H25" s="158" t="s">
        <v>43</v>
      </c>
      <c r="I25" s="158" t="s">
        <v>35</v>
      </c>
      <c r="J25" s="158" t="s">
        <v>42</v>
      </c>
      <c r="K25" s="158" t="s">
        <v>44</v>
      </c>
      <c r="L25" s="36" t="s">
        <v>143</v>
      </c>
      <c r="M25" s="158" t="s">
        <v>144</v>
      </c>
      <c r="O25" s="158" t="s">
        <v>117</v>
      </c>
      <c r="P25" s="36" t="s">
        <v>42</v>
      </c>
      <c r="Q25" s="36" t="s">
        <v>44</v>
      </c>
      <c r="R25" s="36" t="s">
        <v>42</v>
      </c>
      <c r="S25" s="36" t="s">
        <v>44</v>
      </c>
      <c r="T25" s="36" t="s">
        <v>18</v>
      </c>
      <c r="U25" s="36" t="s">
        <v>145</v>
      </c>
      <c r="X25" s="123"/>
      <c r="Y25" s="6"/>
      <c r="Z25" s="6"/>
      <c r="AA25" s="6"/>
      <c r="AB25" s="6"/>
      <c r="AC25" s="6"/>
      <c r="AD25" s="6"/>
      <c r="AE25" s="6"/>
    </row>
    <row r="26" ht="30.0" customHeight="1">
      <c r="A26" s="6"/>
      <c r="B26" s="45" t="s">
        <v>56</v>
      </c>
      <c r="C26" s="131">
        <v>38.0</v>
      </c>
      <c r="D26" s="131">
        <v>45703.0</v>
      </c>
      <c r="E26" s="159"/>
      <c r="F26" s="45" t="s">
        <v>56</v>
      </c>
      <c r="G26" s="78">
        <v>2733646.0</v>
      </c>
      <c r="H26" s="131">
        <v>2770418.0</v>
      </c>
      <c r="I26" s="78">
        <f t="shared" ref="I26:I30" si="13">H26-G26</f>
        <v>36772</v>
      </c>
      <c r="J26" s="160">
        <v>1.0</v>
      </c>
      <c r="K26" s="135">
        <v>311425.0</v>
      </c>
      <c r="L26" s="160">
        <v>6530475.0</v>
      </c>
      <c r="M26" s="131">
        <v>1074874.0</v>
      </c>
      <c r="O26" s="45" t="s">
        <v>56</v>
      </c>
      <c r="P26" s="131">
        <v>16.0</v>
      </c>
      <c r="Q26" s="135">
        <v>11500.0</v>
      </c>
      <c r="R26" s="135">
        <v>0.0</v>
      </c>
      <c r="S26" s="135">
        <v>0.0</v>
      </c>
      <c r="T26" s="135">
        <v>1012084.0</v>
      </c>
      <c r="U26" s="135">
        <v>669585.0</v>
      </c>
      <c r="X26" s="6"/>
      <c r="Y26" s="6"/>
      <c r="Z26" s="6"/>
      <c r="AA26" s="6"/>
      <c r="AB26" s="6"/>
      <c r="AC26" s="6"/>
      <c r="AD26" s="6"/>
      <c r="AE26" s="6"/>
    </row>
    <row r="27" ht="24.75" customHeight="1">
      <c r="A27" s="6"/>
      <c r="B27" s="61" t="s">
        <v>76</v>
      </c>
      <c r="C27" s="131">
        <v>35.0</v>
      </c>
      <c r="D27" s="131">
        <v>42386.0</v>
      </c>
      <c r="E27" s="159"/>
      <c r="F27" s="61" t="s">
        <v>76</v>
      </c>
      <c r="G27" s="78">
        <v>2844347.0</v>
      </c>
      <c r="H27" s="131">
        <v>2838342.0</v>
      </c>
      <c r="I27" s="78">
        <f t="shared" si="13"/>
        <v>-6005</v>
      </c>
      <c r="J27" s="131">
        <v>1.0</v>
      </c>
      <c r="K27" s="135">
        <v>83331.0</v>
      </c>
      <c r="L27" s="131">
        <v>5918087.0</v>
      </c>
      <c r="M27" s="131">
        <v>855051.0</v>
      </c>
      <c r="O27" s="61" t="s">
        <v>76</v>
      </c>
      <c r="P27" s="131">
        <v>22.0</v>
      </c>
      <c r="Q27" s="135">
        <v>15500.0</v>
      </c>
      <c r="R27" s="135">
        <v>1.0</v>
      </c>
      <c r="S27" s="135">
        <v>212620.0</v>
      </c>
      <c r="T27" s="135">
        <v>1146535.0</v>
      </c>
      <c r="U27" s="135">
        <v>840983.0</v>
      </c>
      <c r="X27" s="6"/>
      <c r="Y27" s="6"/>
      <c r="Z27" s="6"/>
      <c r="AA27" s="6"/>
      <c r="AB27" s="6"/>
      <c r="AC27" s="6"/>
      <c r="AD27" s="6"/>
      <c r="AE27" s="6"/>
    </row>
    <row r="28" ht="25.5" customHeight="1">
      <c r="A28" s="6"/>
      <c r="B28" s="61" t="s">
        <v>83</v>
      </c>
      <c r="C28" s="131">
        <v>29.0</v>
      </c>
      <c r="D28" s="131">
        <v>36572.0</v>
      </c>
      <c r="E28" s="159"/>
      <c r="F28" s="61" t="s">
        <v>83</v>
      </c>
      <c r="G28" s="78">
        <v>2612631.0</v>
      </c>
      <c r="H28" s="131">
        <v>2632579.0</v>
      </c>
      <c r="I28" s="78">
        <f t="shared" si="13"/>
        <v>19948</v>
      </c>
      <c r="J28" s="131">
        <v>1.0</v>
      </c>
      <c r="K28" s="131">
        <v>74994.0</v>
      </c>
      <c r="L28" s="131">
        <v>6284607.0</v>
      </c>
      <c r="M28" s="131">
        <v>921613.0</v>
      </c>
      <c r="O28" s="61" t="s">
        <v>83</v>
      </c>
      <c r="P28" s="131">
        <v>17.0</v>
      </c>
      <c r="Q28" s="135">
        <v>18500.0</v>
      </c>
      <c r="R28" s="135">
        <v>0.0</v>
      </c>
      <c r="S28" s="135">
        <v>0.0</v>
      </c>
      <c r="T28" s="135">
        <v>1406833.0</v>
      </c>
      <c r="U28" s="135">
        <v>1028509.0</v>
      </c>
      <c r="X28" s="6"/>
      <c r="Y28" s="6"/>
      <c r="Z28" s="6"/>
      <c r="AA28" s="6"/>
      <c r="AB28" s="6"/>
      <c r="AC28" s="6"/>
      <c r="AD28" s="6"/>
      <c r="AE28" s="6"/>
    </row>
    <row r="29" ht="22.5" customHeight="1">
      <c r="A29" s="6"/>
      <c r="B29" s="61" t="s">
        <v>87</v>
      </c>
      <c r="C29" s="131">
        <v>13.0</v>
      </c>
      <c r="D29" s="131">
        <v>54657.0</v>
      </c>
      <c r="E29" s="159"/>
      <c r="F29" s="61" t="s">
        <v>87</v>
      </c>
      <c r="G29" s="78">
        <v>2563774.0</v>
      </c>
      <c r="H29" s="131">
        <v>2599812.0</v>
      </c>
      <c r="I29" s="78">
        <f t="shared" si="13"/>
        <v>36038</v>
      </c>
      <c r="J29" s="131">
        <v>1.0</v>
      </c>
      <c r="K29" s="131">
        <v>26299.0</v>
      </c>
      <c r="L29" s="131">
        <v>8287522.0</v>
      </c>
      <c r="M29" s="131">
        <v>1219912.0</v>
      </c>
      <c r="O29" s="61" t="s">
        <v>87</v>
      </c>
      <c r="P29" s="131">
        <v>17.0</v>
      </c>
      <c r="Q29" s="135">
        <v>17000.0</v>
      </c>
      <c r="R29" s="135">
        <v>0.0</v>
      </c>
      <c r="S29" s="135">
        <v>0.0</v>
      </c>
      <c r="T29" s="135">
        <v>1523668.0</v>
      </c>
      <c r="U29" s="135">
        <v>1113337.0</v>
      </c>
      <c r="X29" s="6"/>
      <c r="Y29" s="6"/>
      <c r="Z29" s="6"/>
      <c r="AA29" s="6"/>
      <c r="AB29" s="6"/>
      <c r="AC29" s="6"/>
      <c r="AD29" s="6"/>
      <c r="AE29" s="6"/>
    </row>
    <row r="30" ht="24.75" customHeight="1">
      <c r="A30" s="6"/>
      <c r="B30" s="61" t="s">
        <v>91</v>
      </c>
      <c r="C30" s="131">
        <v>32.0</v>
      </c>
      <c r="D30" s="131">
        <v>40080.0</v>
      </c>
      <c r="E30" s="159"/>
      <c r="F30" s="61" t="s">
        <v>91</v>
      </c>
      <c r="G30" s="78">
        <v>2479055.0</v>
      </c>
      <c r="H30" s="131">
        <v>2473437.0</v>
      </c>
      <c r="I30" s="78">
        <f t="shared" si="13"/>
        <v>-5618</v>
      </c>
      <c r="J30" s="131">
        <v>0.0</v>
      </c>
      <c r="K30" s="131">
        <v>0.0</v>
      </c>
      <c r="L30" s="131">
        <v>5775482.0</v>
      </c>
      <c r="M30" s="131">
        <v>896550.0</v>
      </c>
      <c r="O30" s="61" t="s">
        <v>91</v>
      </c>
      <c r="P30" s="131">
        <v>15.0</v>
      </c>
      <c r="Q30" s="135">
        <v>8500.0</v>
      </c>
      <c r="R30" s="135">
        <v>0.0</v>
      </c>
      <c r="S30" s="135">
        <v>0.0</v>
      </c>
      <c r="T30" s="135">
        <v>796421.0</v>
      </c>
      <c r="U30" s="135">
        <v>506897.0</v>
      </c>
      <c r="X30" s="6"/>
      <c r="Y30" s="6"/>
      <c r="Z30" s="6"/>
      <c r="AA30" s="6"/>
      <c r="AB30" s="6"/>
      <c r="AC30" s="6"/>
      <c r="AD30" s="6"/>
      <c r="AE30" s="6"/>
    </row>
    <row r="31" ht="30.0" customHeight="1">
      <c r="A31" s="6"/>
      <c r="B31" s="61" t="s">
        <v>98</v>
      </c>
      <c r="C31" s="78">
        <f t="shared" ref="C31:D31" si="14">SUM(C26:C30)</f>
        <v>147</v>
      </c>
      <c r="D31" s="78">
        <f t="shared" si="14"/>
        <v>219398</v>
      </c>
      <c r="E31" s="159"/>
      <c r="F31" s="61" t="s">
        <v>98</v>
      </c>
      <c r="G31" s="161">
        <f t="shared" ref="G31:M31" si="15">SUM(G26:G30)</f>
        <v>13233453</v>
      </c>
      <c r="H31" s="161">
        <f t="shared" si="15"/>
        <v>13314588</v>
      </c>
      <c r="I31" s="161">
        <f t="shared" si="15"/>
        <v>81135</v>
      </c>
      <c r="J31" s="161">
        <f t="shared" si="15"/>
        <v>4</v>
      </c>
      <c r="K31" s="161">
        <f t="shared" si="15"/>
        <v>496049</v>
      </c>
      <c r="L31" s="161">
        <f t="shared" si="15"/>
        <v>32796173</v>
      </c>
      <c r="M31" s="161">
        <f t="shared" si="15"/>
        <v>4968000</v>
      </c>
      <c r="O31" s="61" t="s">
        <v>98</v>
      </c>
      <c r="P31" s="78">
        <f t="shared" ref="P31:U31" si="16">SUM(P26:P30)</f>
        <v>87</v>
      </c>
      <c r="Q31" s="78">
        <f t="shared" si="16"/>
        <v>71000</v>
      </c>
      <c r="R31" s="78">
        <f t="shared" si="16"/>
        <v>1</v>
      </c>
      <c r="S31" s="78">
        <f t="shared" si="16"/>
        <v>212620</v>
      </c>
      <c r="T31" s="78">
        <f t="shared" si="16"/>
        <v>5885541</v>
      </c>
      <c r="U31" s="78">
        <f t="shared" si="16"/>
        <v>4159311</v>
      </c>
      <c r="X31" s="6"/>
      <c r="Y31" s="6"/>
      <c r="Z31" s="6"/>
      <c r="AA31" s="6"/>
      <c r="AB31" s="6"/>
      <c r="AC31" s="6"/>
      <c r="AD31" s="6"/>
      <c r="AE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</sheetData>
  <mergeCells count="46">
    <mergeCell ref="S4:U4"/>
    <mergeCell ref="V4:W4"/>
    <mergeCell ref="N14:N15"/>
    <mergeCell ref="O14:O15"/>
    <mergeCell ref="P14:P15"/>
    <mergeCell ref="Q14:Q15"/>
    <mergeCell ref="R14:S14"/>
    <mergeCell ref="T14:T15"/>
    <mergeCell ref="N4:O4"/>
    <mergeCell ref="P4:P5"/>
    <mergeCell ref="C12:W12"/>
    <mergeCell ref="C14:C15"/>
    <mergeCell ref="D14:D15"/>
    <mergeCell ref="E14:E15"/>
    <mergeCell ref="G14:G15"/>
    <mergeCell ref="J24:K24"/>
    <mergeCell ref="L24:M24"/>
    <mergeCell ref="O24:Q24"/>
    <mergeCell ref="R24:S24"/>
    <mergeCell ref="U14:U15"/>
    <mergeCell ref="C22:U22"/>
    <mergeCell ref="H23:I23"/>
    <mergeCell ref="J23:K23"/>
    <mergeCell ref="C24:C25"/>
    <mergeCell ref="D24:D25"/>
    <mergeCell ref="F24:I24"/>
    <mergeCell ref="T24:U24"/>
    <mergeCell ref="F4:G4"/>
    <mergeCell ref="H4:I4"/>
    <mergeCell ref="J4:K4"/>
    <mergeCell ref="L4:M4"/>
    <mergeCell ref="Q4:Q5"/>
    <mergeCell ref="R4:R5"/>
    <mergeCell ref="C1:W1"/>
    <mergeCell ref="C2:W2"/>
    <mergeCell ref="C3:H3"/>
    <mergeCell ref="AA3:AB3"/>
    <mergeCell ref="A4:A5"/>
    <mergeCell ref="C4:C5"/>
    <mergeCell ref="D4:E4"/>
    <mergeCell ref="H14:H15"/>
    <mergeCell ref="I14:I15"/>
    <mergeCell ref="J14:J15"/>
    <mergeCell ref="K14:K15"/>
    <mergeCell ref="L14:L15"/>
    <mergeCell ref="M14:M15"/>
  </mergeCells>
  <printOptions horizontalCentered="1"/>
  <pageMargins bottom="0.24089995882051993" footer="0.0" header="0.0" left="0.435085149240066" right="0.0" top="0.0"/>
  <pageSetup paperSize="1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2.0"/>
    <col customWidth="1" min="3" max="3" width="8.5"/>
    <col customWidth="1" min="4" max="4" width="7.75"/>
    <col customWidth="1" min="5" max="5" width="6.38"/>
    <col customWidth="1" min="6" max="6" width="5.75"/>
    <col customWidth="1" min="7" max="7" width="4.38"/>
    <col customWidth="1" min="8" max="8" width="10.5"/>
    <col customWidth="1" min="9" max="9" width="8.38"/>
    <col customWidth="1" min="10" max="10" width="9.38"/>
    <col customWidth="1" min="11" max="11" width="8.5"/>
    <col customWidth="1" min="12" max="12" width="9.63"/>
    <col customWidth="1" min="13" max="13" width="8.38"/>
    <col customWidth="1" min="14" max="14" width="9.38"/>
    <col customWidth="1" min="15" max="15" width="8.5"/>
    <col customWidth="1" min="16" max="16" width="9.25"/>
    <col customWidth="1" min="17" max="17" width="8.63"/>
    <col customWidth="1" min="18" max="18" width="8.5"/>
    <col customWidth="1" min="19" max="19" width="7.88"/>
    <col customWidth="1" min="20" max="20" width="4.38"/>
  </cols>
  <sheetData>
    <row r="1">
      <c r="A1" s="4" t="s">
        <v>3</v>
      </c>
    </row>
    <row r="2">
      <c r="A2" s="4" t="s">
        <v>6</v>
      </c>
    </row>
    <row r="3">
      <c r="A3" s="4" t="s">
        <v>9</v>
      </c>
    </row>
    <row r="4">
      <c r="A4" s="11" t="s">
        <v>10</v>
      </c>
    </row>
    <row r="5">
      <c r="A5" s="13" t="s">
        <v>12</v>
      </c>
      <c r="B5" s="13" t="s">
        <v>13</v>
      </c>
      <c r="C5" s="13" t="s">
        <v>14</v>
      </c>
      <c r="D5" s="19" t="s">
        <v>16</v>
      </c>
      <c r="E5" s="14"/>
      <c r="F5" s="14"/>
      <c r="G5" s="15"/>
      <c r="H5" s="19" t="s">
        <v>18</v>
      </c>
      <c r="I5" s="14"/>
      <c r="J5" s="14"/>
      <c r="K5" s="14"/>
      <c r="L5" s="14"/>
      <c r="M5" s="14"/>
      <c r="N5" s="14"/>
      <c r="O5" s="14"/>
      <c r="P5" s="14"/>
      <c r="Q5" s="15"/>
      <c r="R5" s="13" t="s">
        <v>20</v>
      </c>
      <c r="S5" s="19" t="s">
        <v>22</v>
      </c>
      <c r="T5" s="15"/>
    </row>
    <row r="6">
      <c r="A6" s="25"/>
      <c r="B6" s="25"/>
      <c r="C6" s="25"/>
      <c r="D6" s="26" t="s">
        <v>24</v>
      </c>
      <c r="E6" s="26" t="s">
        <v>26</v>
      </c>
      <c r="F6" s="26" t="s">
        <v>27</v>
      </c>
      <c r="G6" s="26" t="s">
        <v>28</v>
      </c>
      <c r="H6" s="29">
        <v>44958.0</v>
      </c>
      <c r="I6" s="26" t="s">
        <v>31</v>
      </c>
      <c r="J6" s="29">
        <f>H6+1</f>
        <v>44959</v>
      </c>
      <c r="K6" s="26" t="s">
        <v>31</v>
      </c>
      <c r="L6" s="29">
        <f>J6+3</f>
        <v>44962</v>
      </c>
      <c r="M6" s="26" t="s">
        <v>31</v>
      </c>
      <c r="N6" s="29">
        <f>L6+1</f>
        <v>44963</v>
      </c>
      <c r="O6" s="26" t="s">
        <v>31</v>
      </c>
      <c r="P6" s="29">
        <f>N6+1</f>
        <v>44964</v>
      </c>
      <c r="Q6" s="26" t="s">
        <v>31</v>
      </c>
      <c r="R6" s="25"/>
      <c r="S6" s="26" t="s">
        <v>42</v>
      </c>
      <c r="T6" s="26" t="s">
        <v>44</v>
      </c>
    </row>
    <row r="7">
      <c r="A7" s="26" t="s">
        <v>47</v>
      </c>
      <c r="B7" s="37" t="s">
        <v>49</v>
      </c>
      <c r="C7" s="37"/>
      <c r="D7" s="37"/>
      <c r="E7" s="37"/>
      <c r="F7" s="37"/>
      <c r="G7" s="37"/>
      <c r="H7" s="37"/>
      <c r="I7" s="37"/>
      <c r="J7" s="37"/>
      <c r="K7" s="26"/>
      <c r="L7" s="37"/>
      <c r="M7" s="26"/>
      <c r="N7" s="37"/>
      <c r="O7" s="26"/>
      <c r="P7" s="37"/>
      <c r="Q7" s="26"/>
      <c r="R7" s="37"/>
      <c r="S7" s="37"/>
      <c r="T7" s="37"/>
    </row>
    <row r="8">
      <c r="A8" s="26" t="s">
        <v>51</v>
      </c>
      <c r="B8" s="37" t="s">
        <v>52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41"/>
      <c r="R8" s="37"/>
      <c r="S8" s="37"/>
      <c r="T8" s="37"/>
    </row>
    <row r="9">
      <c r="A9" s="26" t="s">
        <v>54</v>
      </c>
      <c r="B9" s="37" t="s">
        <v>55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41"/>
      <c r="R9" s="37"/>
      <c r="S9" s="37"/>
      <c r="T9" s="37"/>
    </row>
    <row r="10">
      <c r="A10" s="26" t="s">
        <v>57</v>
      </c>
      <c r="B10" s="37" t="s">
        <v>59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41"/>
      <c r="R10" s="37"/>
      <c r="S10" s="37"/>
      <c r="T10" s="37"/>
    </row>
    <row r="11">
      <c r="A11" s="26" t="s">
        <v>60</v>
      </c>
      <c r="B11" s="37" t="s">
        <v>61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41"/>
      <c r="R11" s="37"/>
      <c r="S11" s="37"/>
      <c r="T11" s="37"/>
    </row>
    <row r="12">
      <c r="A12" s="26" t="s">
        <v>63</v>
      </c>
      <c r="B12" s="37" t="s">
        <v>64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41"/>
      <c r="R12" s="37"/>
      <c r="S12" s="37"/>
      <c r="T12" s="37"/>
    </row>
    <row r="13">
      <c r="A13" s="19" t="s">
        <v>28</v>
      </c>
      <c r="B13" s="14"/>
      <c r="C13" s="15"/>
      <c r="D13" s="26">
        <f t="shared" ref="D13:H13" si="1">SUM(D7:D12)</f>
        <v>0</v>
      </c>
      <c r="E13" s="26">
        <f t="shared" si="1"/>
        <v>0</v>
      </c>
      <c r="F13" s="26">
        <f t="shared" si="1"/>
        <v>0</v>
      </c>
      <c r="G13" s="26">
        <f t="shared" si="1"/>
        <v>0</v>
      </c>
      <c r="H13" s="26">
        <f t="shared" si="1"/>
        <v>0</v>
      </c>
      <c r="I13" s="26"/>
      <c r="J13" s="26">
        <f>SUM(J7:J12)</f>
        <v>0</v>
      </c>
      <c r="K13" s="26"/>
      <c r="L13" s="26">
        <f>SUM(L7:L12)</f>
        <v>0</v>
      </c>
      <c r="M13" s="26"/>
      <c r="N13" s="26">
        <f>SUM(N7:N12)</f>
        <v>0</v>
      </c>
      <c r="O13" s="26"/>
      <c r="P13" s="26">
        <f>SUM(P7:P12)</f>
        <v>0</v>
      </c>
      <c r="Q13" s="26"/>
      <c r="R13" s="26">
        <f t="shared" ref="R13:T13" si="2">SUM(R7:R12)</f>
        <v>0</v>
      </c>
      <c r="S13" s="26">
        <f t="shared" si="2"/>
        <v>0</v>
      </c>
      <c r="T13" s="26">
        <f t="shared" si="2"/>
        <v>0</v>
      </c>
    </row>
    <row r="15">
      <c r="A15" s="4" t="s">
        <v>3</v>
      </c>
    </row>
    <row r="16">
      <c r="A16" s="4" t="s">
        <v>6</v>
      </c>
    </row>
    <row r="17">
      <c r="A17" s="4" t="str">
        <f t="shared" ref="A17:A18" si="3">A3</f>
        <v>ফেব্রুয়ারী-২৩ মাসে বিতরনকৃত মাসিক অগ্রসর ঋণের আদায় তথ্য</v>
      </c>
    </row>
    <row r="18">
      <c r="A18" s="11" t="str">
        <f t="shared" si="3"/>
        <v>মাসের নামঃ- ফেব্রুয়ারী-২০২৩</v>
      </c>
    </row>
    <row r="19">
      <c r="A19" s="13" t="s">
        <v>12</v>
      </c>
      <c r="B19" s="13" t="s">
        <v>13</v>
      </c>
      <c r="C19" s="13" t="s">
        <v>14</v>
      </c>
      <c r="D19" s="19" t="str">
        <f>D5</f>
        <v>নভেম্বর-২১ হতে-জানুয়ারী-২৩ পর্যন্ত  মাসিক ঋণ বিতরন</v>
      </c>
      <c r="E19" s="14"/>
      <c r="F19" s="14"/>
      <c r="G19" s="15"/>
      <c r="H19" s="19" t="s">
        <v>18</v>
      </c>
      <c r="I19" s="14"/>
      <c r="J19" s="14"/>
      <c r="K19" s="14"/>
      <c r="L19" s="14"/>
      <c r="M19" s="14"/>
      <c r="N19" s="14"/>
      <c r="O19" s="14"/>
      <c r="P19" s="14"/>
      <c r="Q19" s="15"/>
      <c r="R19" s="13" t="s">
        <v>20</v>
      </c>
      <c r="S19" s="19" t="s">
        <v>22</v>
      </c>
      <c r="T19" s="15"/>
    </row>
    <row r="20">
      <c r="A20" s="25"/>
      <c r="B20" s="25"/>
      <c r="C20" s="25"/>
      <c r="D20" s="26" t="s">
        <v>24</v>
      </c>
      <c r="E20" s="26" t="s">
        <v>26</v>
      </c>
      <c r="F20" s="26" t="s">
        <v>27</v>
      </c>
      <c r="G20" s="26" t="s">
        <v>28</v>
      </c>
      <c r="H20" s="29">
        <f>P6+1</f>
        <v>44965</v>
      </c>
      <c r="I20" s="26" t="s">
        <v>31</v>
      </c>
      <c r="J20" s="29">
        <f>H20+1</f>
        <v>44966</v>
      </c>
      <c r="K20" s="26" t="s">
        <v>31</v>
      </c>
      <c r="L20" s="29">
        <f>J20+3</f>
        <v>44969</v>
      </c>
      <c r="M20" s="26" t="s">
        <v>31</v>
      </c>
      <c r="N20" s="29">
        <f>L20+1</f>
        <v>44970</v>
      </c>
      <c r="O20" s="26" t="s">
        <v>31</v>
      </c>
      <c r="P20" s="29">
        <f>N20+1</f>
        <v>44971</v>
      </c>
      <c r="Q20" s="26" t="s">
        <v>31</v>
      </c>
      <c r="R20" s="25"/>
      <c r="S20" s="26" t="s">
        <v>42</v>
      </c>
      <c r="T20" s="26" t="s">
        <v>44</v>
      </c>
    </row>
    <row r="21" ht="15.75" customHeight="1">
      <c r="A21" s="26" t="s">
        <v>47</v>
      </c>
      <c r="B21" s="37" t="s">
        <v>49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89"/>
      <c r="R21" s="37"/>
      <c r="S21" s="37"/>
      <c r="T21" s="37"/>
    </row>
    <row r="22" ht="15.75" customHeight="1">
      <c r="A22" s="26" t="s">
        <v>51</v>
      </c>
      <c r="B22" s="37" t="s">
        <v>52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89"/>
      <c r="R22" s="37"/>
      <c r="S22" s="37"/>
      <c r="T22" s="37"/>
    </row>
    <row r="23" ht="15.75" customHeight="1">
      <c r="A23" s="26" t="s">
        <v>54</v>
      </c>
      <c r="B23" s="37" t="s">
        <v>55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89"/>
      <c r="R23" s="37"/>
      <c r="S23" s="37"/>
      <c r="T23" s="37"/>
    </row>
    <row r="24" ht="15.75" customHeight="1">
      <c r="A24" s="26" t="s">
        <v>57</v>
      </c>
      <c r="B24" s="37" t="s">
        <v>59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89"/>
      <c r="R24" s="37"/>
      <c r="S24" s="37"/>
      <c r="T24" s="37"/>
    </row>
    <row r="25" ht="15.75" customHeight="1">
      <c r="A25" s="26" t="s">
        <v>60</v>
      </c>
      <c r="B25" s="37" t="s">
        <v>61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89"/>
      <c r="R25" s="37"/>
      <c r="S25" s="37"/>
      <c r="T25" s="37"/>
    </row>
    <row r="26" ht="15.75" customHeight="1">
      <c r="A26" s="26" t="s">
        <v>63</v>
      </c>
      <c r="B26" s="37" t="s">
        <v>64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89"/>
      <c r="R26" s="37"/>
      <c r="S26" s="37"/>
      <c r="T26" s="37"/>
    </row>
    <row r="27" ht="15.75" customHeight="1">
      <c r="A27" s="19" t="s">
        <v>28</v>
      </c>
      <c r="B27" s="14"/>
      <c r="C27" s="15"/>
      <c r="D27" s="26">
        <f t="shared" ref="D27:H27" si="4">SUM(D21:D26)</f>
        <v>0</v>
      </c>
      <c r="E27" s="26">
        <f t="shared" si="4"/>
        <v>0</v>
      </c>
      <c r="F27" s="26">
        <f t="shared" si="4"/>
        <v>0</v>
      </c>
      <c r="G27" s="26">
        <f t="shared" si="4"/>
        <v>0</v>
      </c>
      <c r="H27" s="26">
        <f t="shared" si="4"/>
        <v>0</v>
      </c>
      <c r="I27" s="26"/>
      <c r="J27" s="26">
        <f>SUM(J21:J26)</f>
        <v>0</v>
      </c>
      <c r="K27" s="26"/>
      <c r="L27" s="26">
        <f>SUM(L21:L26)</f>
        <v>0</v>
      </c>
      <c r="M27" s="26"/>
      <c r="N27" s="26">
        <f>SUM(N21:N26)</f>
        <v>0</v>
      </c>
      <c r="O27" s="26"/>
      <c r="P27" s="26">
        <f>SUM(P21:P26)</f>
        <v>0</v>
      </c>
      <c r="Q27" s="26"/>
      <c r="R27" s="26">
        <f t="shared" ref="R27:T27" si="5">SUM(R21:R26)</f>
        <v>0</v>
      </c>
      <c r="S27" s="26">
        <f t="shared" si="5"/>
        <v>0</v>
      </c>
      <c r="T27" s="26">
        <f t="shared" si="5"/>
        <v>0</v>
      </c>
    </row>
    <row r="28" ht="15.75" customHeight="1"/>
    <row r="29" ht="15.75" customHeight="1">
      <c r="A29" s="116" t="s">
        <v>3</v>
      </c>
      <c r="U29" s="118"/>
      <c r="V29" s="118"/>
      <c r="W29" s="118"/>
      <c r="X29" s="118"/>
      <c r="Y29" s="118"/>
      <c r="Z29" s="118"/>
      <c r="AA29" s="118"/>
      <c r="AB29" s="118"/>
    </row>
    <row r="30" ht="15.75" customHeight="1">
      <c r="A30" s="116" t="s">
        <v>6</v>
      </c>
      <c r="U30" s="118"/>
      <c r="V30" s="118"/>
      <c r="W30" s="118"/>
      <c r="X30" s="118"/>
      <c r="Y30" s="118"/>
      <c r="Z30" s="118"/>
      <c r="AA30" s="118"/>
      <c r="AB30" s="118"/>
    </row>
    <row r="31" ht="15.75" customHeight="1">
      <c r="A31" s="116" t="str">
        <f t="shared" ref="A31:A32" si="6">A17</f>
        <v>ফেব্রুয়ারী-২৩ মাসে বিতরনকৃত মাসিক অগ্রসর ঋণের আদায় তথ্য</v>
      </c>
      <c r="U31" s="118"/>
      <c r="V31" s="118"/>
      <c r="W31" s="118"/>
      <c r="X31" s="118"/>
      <c r="Y31" s="118"/>
      <c r="Z31" s="118"/>
      <c r="AA31" s="118"/>
      <c r="AB31" s="118"/>
    </row>
    <row r="32" ht="15.75" customHeight="1">
      <c r="A32" s="122" t="str">
        <f t="shared" si="6"/>
        <v>মাসের নামঃ- ফেব্রুয়ারী-২০২৩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118"/>
      <c r="V32" s="118"/>
      <c r="W32" s="118"/>
      <c r="X32" s="118"/>
      <c r="Y32" s="118"/>
      <c r="Z32" s="118"/>
      <c r="AA32" s="118"/>
      <c r="AB32" s="118"/>
    </row>
    <row r="33" ht="15.75" customHeight="1">
      <c r="A33" s="13" t="s">
        <v>12</v>
      </c>
      <c r="B33" s="13" t="s">
        <v>13</v>
      </c>
      <c r="C33" s="13" t="s">
        <v>14</v>
      </c>
      <c r="D33" s="19" t="str">
        <f>D19</f>
        <v>নভেম্বর-২১ হতে-জানুয়ারী-২৩ পর্যন্ত  মাসিক ঋণ বিতরন</v>
      </c>
      <c r="E33" s="14"/>
      <c r="F33" s="14"/>
      <c r="G33" s="15"/>
      <c r="H33" s="19" t="s">
        <v>18</v>
      </c>
      <c r="I33" s="14"/>
      <c r="J33" s="14"/>
      <c r="K33" s="14"/>
      <c r="L33" s="14"/>
      <c r="M33" s="14"/>
      <c r="N33" s="14"/>
      <c r="O33" s="14"/>
      <c r="P33" s="14"/>
      <c r="Q33" s="15"/>
      <c r="R33" s="13" t="s">
        <v>20</v>
      </c>
      <c r="S33" s="19" t="s">
        <v>22</v>
      </c>
      <c r="T33" s="15"/>
    </row>
    <row r="34" ht="15.75" customHeight="1">
      <c r="A34" s="25"/>
      <c r="B34" s="25"/>
      <c r="C34" s="25"/>
      <c r="D34" s="26" t="s">
        <v>24</v>
      </c>
      <c r="E34" s="26" t="s">
        <v>26</v>
      </c>
      <c r="F34" s="26" t="s">
        <v>27</v>
      </c>
      <c r="G34" s="26" t="s">
        <v>28</v>
      </c>
      <c r="H34" s="29">
        <f>P20+1</f>
        <v>44972</v>
      </c>
      <c r="I34" s="26" t="s">
        <v>31</v>
      </c>
      <c r="J34" s="29">
        <f>H34+1</f>
        <v>44973</v>
      </c>
      <c r="K34" s="26" t="s">
        <v>31</v>
      </c>
      <c r="L34" s="29">
        <f>J34+3</f>
        <v>44976</v>
      </c>
      <c r="M34" s="26" t="s">
        <v>31</v>
      </c>
      <c r="N34" s="29">
        <f>L34+1</f>
        <v>44977</v>
      </c>
      <c r="O34" s="26" t="s">
        <v>31</v>
      </c>
      <c r="P34" s="29">
        <f>N34+2</f>
        <v>44979</v>
      </c>
      <c r="Q34" s="26" t="s">
        <v>31</v>
      </c>
      <c r="R34" s="25"/>
      <c r="S34" s="26" t="s">
        <v>42</v>
      </c>
      <c r="T34" s="26" t="s">
        <v>44</v>
      </c>
    </row>
    <row r="35" ht="15.75" customHeight="1">
      <c r="A35" s="136" t="s">
        <v>47</v>
      </c>
      <c r="B35" s="138" t="s">
        <v>49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40"/>
      <c r="R35" s="139"/>
      <c r="S35" s="139"/>
      <c r="T35" s="139"/>
      <c r="U35" s="118"/>
      <c r="V35" s="118"/>
      <c r="W35" s="118"/>
      <c r="X35" s="118"/>
      <c r="Y35" s="118"/>
      <c r="Z35" s="118"/>
      <c r="AA35" s="118"/>
      <c r="AB35" s="118"/>
    </row>
    <row r="36" ht="15.75" customHeight="1">
      <c r="A36" s="136" t="s">
        <v>51</v>
      </c>
      <c r="B36" s="138" t="s">
        <v>52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40"/>
      <c r="R36" s="139"/>
      <c r="S36" s="139"/>
      <c r="T36" s="139"/>
      <c r="U36" s="118"/>
      <c r="V36" s="118"/>
      <c r="W36" s="118"/>
      <c r="X36" s="118"/>
      <c r="Y36" s="118"/>
      <c r="Z36" s="118"/>
      <c r="AA36" s="118"/>
      <c r="AB36" s="118"/>
    </row>
    <row r="37" ht="15.75" customHeight="1">
      <c r="A37" s="136" t="s">
        <v>54</v>
      </c>
      <c r="B37" s="138" t="s">
        <v>55</v>
      </c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40"/>
      <c r="R37" s="139"/>
      <c r="S37" s="139"/>
      <c r="T37" s="139"/>
      <c r="U37" s="118"/>
      <c r="V37" s="118"/>
      <c r="W37" s="118"/>
      <c r="X37" s="118"/>
      <c r="Y37" s="118"/>
      <c r="Z37" s="118"/>
      <c r="AA37" s="118"/>
      <c r="AB37" s="118"/>
    </row>
    <row r="38" ht="15.75" customHeight="1">
      <c r="A38" s="136" t="s">
        <v>57</v>
      </c>
      <c r="B38" s="138" t="s">
        <v>59</v>
      </c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40"/>
      <c r="R38" s="139"/>
      <c r="S38" s="139"/>
      <c r="T38" s="139"/>
      <c r="U38" s="118"/>
      <c r="V38" s="118"/>
      <c r="W38" s="118"/>
      <c r="X38" s="118"/>
      <c r="Y38" s="118"/>
      <c r="Z38" s="118"/>
      <c r="AA38" s="118"/>
      <c r="AB38" s="118"/>
    </row>
    <row r="39" ht="15.75" customHeight="1">
      <c r="A39" s="136" t="s">
        <v>60</v>
      </c>
      <c r="B39" s="138" t="s">
        <v>61</v>
      </c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40"/>
      <c r="R39" s="139"/>
      <c r="S39" s="139"/>
      <c r="T39" s="139"/>
      <c r="U39" s="118"/>
      <c r="V39" s="118"/>
      <c r="W39" s="118"/>
      <c r="X39" s="118"/>
      <c r="Y39" s="118"/>
      <c r="Z39" s="118"/>
      <c r="AA39" s="118"/>
      <c r="AB39" s="118"/>
    </row>
    <row r="40" ht="15.75" customHeight="1">
      <c r="A40" s="136" t="s">
        <v>63</v>
      </c>
      <c r="B40" s="138" t="s">
        <v>64</v>
      </c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40"/>
      <c r="R40" s="139"/>
      <c r="S40" s="139"/>
      <c r="T40" s="139"/>
      <c r="U40" s="118"/>
      <c r="V40" s="118"/>
      <c r="W40" s="118"/>
      <c r="X40" s="118"/>
      <c r="Y40" s="118"/>
      <c r="Z40" s="118"/>
      <c r="AA40" s="118"/>
      <c r="AB40" s="118"/>
    </row>
    <row r="41" ht="15.75" customHeight="1">
      <c r="A41" s="142" t="s">
        <v>28</v>
      </c>
      <c r="B41" s="23"/>
      <c r="C41" s="87"/>
      <c r="D41" s="144">
        <f t="shared" ref="D41:H41" si="7">SUM(D35:D40)</f>
        <v>0</v>
      </c>
      <c r="E41" s="144">
        <f t="shared" si="7"/>
        <v>0</v>
      </c>
      <c r="F41" s="144">
        <f t="shared" si="7"/>
        <v>0</v>
      </c>
      <c r="G41" s="144">
        <f t="shared" si="7"/>
        <v>0</v>
      </c>
      <c r="H41" s="144">
        <f t="shared" si="7"/>
        <v>0</v>
      </c>
      <c r="I41" s="144"/>
      <c r="J41" s="144">
        <f>SUM(J35:J40)</f>
        <v>0</v>
      </c>
      <c r="K41" s="144"/>
      <c r="L41" s="144">
        <f>SUM(L35:L40)</f>
        <v>0</v>
      </c>
      <c r="M41" s="144"/>
      <c r="N41" s="144">
        <f>SUM(N35:N40)</f>
        <v>0</v>
      </c>
      <c r="O41" s="144"/>
      <c r="P41" s="144">
        <f>SUM(P35:P40)</f>
        <v>0</v>
      </c>
      <c r="Q41" s="144"/>
      <c r="R41" s="144">
        <f t="shared" ref="R41:T41" si="8">SUM(R35:R40)</f>
        <v>0</v>
      </c>
      <c r="S41" s="144">
        <f t="shared" si="8"/>
        <v>0</v>
      </c>
      <c r="T41" s="144">
        <f t="shared" si="8"/>
        <v>0</v>
      </c>
      <c r="U41" s="118"/>
      <c r="V41" s="118"/>
      <c r="W41" s="118"/>
      <c r="X41" s="118"/>
      <c r="Y41" s="118"/>
      <c r="Z41" s="118"/>
      <c r="AA41" s="118"/>
      <c r="AB41" s="118"/>
    </row>
    <row r="42" ht="15.75" customHeight="1"/>
    <row r="43" ht="15.75" customHeight="1">
      <c r="A43" s="116" t="s">
        <v>3</v>
      </c>
      <c r="U43" s="118"/>
      <c r="V43" s="118"/>
      <c r="W43" s="118"/>
      <c r="X43" s="118"/>
      <c r="Y43" s="118"/>
      <c r="Z43" s="118"/>
      <c r="AA43" s="118"/>
      <c r="AB43" s="118"/>
    </row>
    <row r="44" ht="15.75" customHeight="1">
      <c r="A44" s="116" t="s">
        <v>6</v>
      </c>
      <c r="U44" s="118"/>
      <c r="V44" s="118"/>
      <c r="W44" s="118"/>
      <c r="X44" s="118"/>
      <c r="Y44" s="118"/>
      <c r="Z44" s="118"/>
      <c r="AA44" s="118"/>
      <c r="AB44" s="118"/>
    </row>
    <row r="45" ht="15.75" customHeight="1">
      <c r="A45" s="116" t="str">
        <f t="shared" ref="A45:A46" si="9">A31</f>
        <v>ফেব্রুয়ারী-২৩ মাসে বিতরনকৃত মাসিক অগ্রসর ঋণের আদায় তথ্য</v>
      </c>
      <c r="U45" s="118"/>
      <c r="V45" s="118"/>
      <c r="W45" s="118"/>
      <c r="X45" s="118"/>
      <c r="Y45" s="118"/>
      <c r="Z45" s="118"/>
      <c r="AA45" s="118"/>
      <c r="AB45" s="118"/>
    </row>
    <row r="46" ht="15.75" customHeight="1">
      <c r="A46" s="122" t="str">
        <f t="shared" si="9"/>
        <v>মাসের নামঃ- ফেব্রুয়ারী-২০২৩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118"/>
      <c r="V46" s="118"/>
      <c r="W46" s="118"/>
      <c r="X46" s="118"/>
      <c r="Y46" s="118"/>
      <c r="Z46" s="118"/>
      <c r="AA46" s="118"/>
      <c r="AB46" s="118"/>
    </row>
    <row r="47" ht="15.75" customHeight="1">
      <c r="A47" s="13" t="s">
        <v>12</v>
      </c>
      <c r="B47" s="13" t="s">
        <v>13</v>
      </c>
      <c r="C47" s="13" t="s">
        <v>14</v>
      </c>
      <c r="D47" s="19" t="str">
        <f>D33</f>
        <v>নভেম্বর-২১ হতে-জানুয়ারী-২৩ পর্যন্ত  মাসিক ঋণ বিতরন</v>
      </c>
      <c r="E47" s="14"/>
      <c r="F47" s="14"/>
      <c r="G47" s="15"/>
      <c r="H47" s="19" t="s">
        <v>18</v>
      </c>
      <c r="I47" s="14"/>
      <c r="J47" s="14"/>
      <c r="K47" s="14"/>
      <c r="L47" s="14"/>
      <c r="M47" s="14"/>
      <c r="N47" s="14"/>
      <c r="O47" s="14"/>
      <c r="P47" s="14"/>
      <c r="Q47" s="15"/>
      <c r="R47" s="13" t="s">
        <v>20</v>
      </c>
      <c r="S47" s="19" t="s">
        <v>22</v>
      </c>
      <c r="T47" s="15"/>
    </row>
    <row r="48" ht="15.75" customHeight="1">
      <c r="A48" s="25"/>
      <c r="B48" s="25"/>
      <c r="C48" s="25"/>
      <c r="D48" s="26" t="s">
        <v>24</v>
      </c>
      <c r="E48" s="26" t="s">
        <v>26</v>
      </c>
      <c r="F48" s="26" t="s">
        <v>27</v>
      </c>
      <c r="G48" s="26" t="s">
        <v>28</v>
      </c>
      <c r="H48" s="29">
        <f>P34+1</f>
        <v>44980</v>
      </c>
      <c r="I48" s="26" t="s">
        <v>31</v>
      </c>
      <c r="J48" s="29">
        <f>H48+3</f>
        <v>44983</v>
      </c>
      <c r="K48" s="26" t="s">
        <v>31</v>
      </c>
      <c r="L48" s="29">
        <f>J48+1</f>
        <v>44984</v>
      </c>
      <c r="M48" s="26" t="s">
        <v>31</v>
      </c>
      <c r="N48" s="29">
        <f>L48+1</f>
        <v>44985</v>
      </c>
      <c r="O48" s="26" t="s">
        <v>31</v>
      </c>
      <c r="P48" s="29">
        <f>N48+1</f>
        <v>44986</v>
      </c>
      <c r="Q48" s="26" t="s">
        <v>31</v>
      </c>
      <c r="R48" s="25"/>
      <c r="S48" s="26" t="s">
        <v>42</v>
      </c>
      <c r="T48" s="26" t="s">
        <v>44</v>
      </c>
    </row>
    <row r="49" ht="15.75" customHeight="1">
      <c r="A49" s="136" t="s">
        <v>47</v>
      </c>
      <c r="B49" s="138" t="s">
        <v>49</v>
      </c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40"/>
      <c r="R49" s="139"/>
      <c r="S49" s="139"/>
      <c r="T49" s="139"/>
      <c r="U49" s="118"/>
      <c r="V49" s="118"/>
      <c r="W49" s="118"/>
      <c r="X49" s="118"/>
      <c r="Y49" s="118"/>
      <c r="Z49" s="118"/>
      <c r="AA49" s="118"/>
      <c r="AB49" s="118"/>
    </row>
    <row r="50" ht="15.75" customHeight="1">
      <c r="A50" s="136" t="s">
        <v>51</v>
      </c>
      <c r="B50" s="138" t="s">
        <v>52</v>
      </c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40"/>
      <c r="R50" s="139"/>
      <c r="S50" s="139"/>
      <c r="T50" s="139"/>
      <c r="U50" s="118"/>
      <c r="V50" s="118"/>
      <c r="W50" s="118"/>
      <c r="X50" s="118"/>
      <c r="Y50" s="118"/>
      <c r="Z50" s="118"/>
      <c r="AA50" s="118"/>
      <c r="AB50" s="118"/>
    </row>
    <row r="51" ht="15.75" customHeight="1">
      <c r="A51" s="136" t="s">
        <v>54</v>
      </c>
      <c r="B51" s="138" t="s">
        <v>55</v>
      </c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40"/>
      <c r="R51" s="139"/>
      <c r="S51" s="139"/>
      <c r="T51" s="139"/>
      <c r="U51" s="118"/>
      <c r="V51" s="118"/>
      <c r="W51" s="118"/>
      <c r="X51" s="118"/>
      <c r="Y51" s="118"/>
      <c r="Z51" s="118"/>
      <c r="AA51" s="118"/>
      <c r="AB51" s="118"/>
    </row>
    <row r="52" ht="15.75" customHeight="1">
      <c r="A52" s="136" t="s">
        <v>57</v>
      </c>
      <c r="B52" s="138" t="s">
        <v>59</v>
      </c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40"/>
      <c r="R52" s="139"/>
      <c r="S52" s="139"/>
      <c r="T52" s="139"/>
      <c r="U52" s="118"/>
      <c r="V52" s="118"/>
      <c r="W52" s="118"/>
      <c r="X52" s="118"/>
      <c r="Y52" s="118"/>
      <c r="Z52" s="118"/>
      <c r="AA52" s="118"/>
      <c r="AB52" s="118"/>
    </row>
    <row r="53" ht="15.75" customHeight="1">
      <c r="A53" s="136" t="s">
        <v>60</v>
      </c>
      <c r="B53" s="138" t="s">
        <v>61</v>
      </c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40"/>
      <c r="R53" s="139"/>
      <c r="S53" s="139"/>
      <c r="T53" s="139"/>
      <c r="U53" s="118"/>
      <c r="V53" s="118"/>
      <c r="W53" s="118"/>
      <c r="X53" s="118"/>
      <c r="Y53" s="118"/>
      <c r="Z53" s="118"/>
      <c r="AA53" s="118"/>
      <c r="AB53" s="118"/>
    </row>
    <row r="54" ht="15.75" customHeight="1">
      <c r="A54" s="136" t="s">
        <v>63</v>
      </c>
      <c r="B54" s="138" t="s">
        <v>64</v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40"/>
      <c r="R54" s="139"/>
      <c r="S54" s="139"/>
      <c r="T54" s="139"/>
      <c r="U54" s="118"/>
      <c r="V54" s="118"/>
      <c r="W54" s="118"/>
      <c r="X54" s="118"/>
      <c r="Y54" s="118"/>
      <c r="Z54" s="118"/>
      <c r="AA54" s="118"/>
      <c r="AB54" s="118"/>
    </row>
    <row r="55" ht="15.75" customHeight="1">
      <c r="A55" s="142" t="s">
        <v>28</v>
      </c>
      <c r="B55" s="23"/>
      <c r="C55" s="87"/>
      <c r="D55" s="144">
        <f t="shared" ref="D55:H55" si="10">SUM(D49:D54)</f>
        <v>0</v>
      </c>
      <c r="E55" s="144">
        <f t="shared" si="10"/>
        <v>0</v>
      </c>
      <c r="F55" s="144">
        <f t="shared" si="10"/>
        <v>0</v>
      </c>
      <c r="G55" s="144">
        <f t="shared" si="10"/>
        <v>0</v>
      </c>
      <c r="H55" s="144">
        <f t="shared" si="10"/>
        <v>0</v>
      </c>
      <c r="I55" s="144"/>
      <c r="J55" s="144">
        <f>SUM(J49:J54)</f>
        <v>0</v>
      </c>
      <c r="K55" s="144"/>
      <c r="L55" s="144">
        <f>SUM(L49:L54)</f>
        <v>0</v>
      </c>
      <c r="M55" s="144"/>
      <c r="N55" s="144">
        <f>SUM(N49:N54)</f>
        <v>0</v>
      </c>
      <c r="O55" s="144"/>
      <c r="P55" s="144">
        <f>SUM(P49:P54)</f>
        <v>0</v>
      </c>
      <c r="Q55" s="144"/>
      <c r="R55" s="144">
        <f t="shared" ref="R55:T55" si="11">SUM(R49:R54)</f>
        <v>0</v>
      </c>
      <c r="S55" s="144">
        <f t="shared" si="11"/>
        <v>0</v>
      </c>
      <c r="T55" s="144">
        <f t="shared" si="11"/>
        <v>0</v>
      </c>
      <c r="U55" s="118"/>
      <c r="V55" s="118"/>
      <c r="W55" s="118"/>
      <c r="X55" s="118"/>
      <c r="Y55" s="118"/>
      <c r="Z55" s="118"/>
      <c r="AA55" s="118"/>
      <c r="AB55" s="118"/>
    </row>
    <row r="56" ht="15.75" customHeight="1"/>
    <row r="57" ht="15.75" customHeight="1">
      <c r="A57" s="116" t="s">
        <v>3</v>
      </c>
      <c r="U57" s="118"/>
      <c r="V57" s="118"/>
      <c r="W57" s="118"/>
      <c r="X57" s="118"/>
      <c r="Y57" s="118"/>
      <c r="Z57" s="118"/>
      <c r="AA57" s="118"/>
      <c r="AB57" s="118"/>
    </row>
    <row r="58" ht="15.75" customHeight="1">
      <c r="A58" s="116" t="s">
        <v>6</v>
      </c>
      <c r="U58" s="118"/>
      <c r="V58" s="118"/>
      <c r="W58" s="118"/>
      <c r="X58" s="118"/>
      <c r="Y58" s="118"/>
      <c r="Z58" s="118"/>
      <c r="AA58" s="118"/>
      <c r="AB58" s="118"/>
    </row>
    <row r="59" ht="15.75" customHeight="1">
      <c r="A59" s="116" t="str">
        <f t="shared" ref="A59:A60" si="12">A45</f>
        <v>ফেব্রুয়ারী-২৩ মাসে বিতরনকৃত মাসিক অগ্রসর ঋণের আদায় তথ্য</v>
      </c>
      <c r="U59" s="118"/>
      <c r="V59" s="118"/>
      <c r="W59" s="118"/>
      <c r="X59" s="118"/>
      <c r="Y59" s="118"/>
      <c r="Z59" s="118"/>
      <c r="AA59" s="118"/>
      <c r="AB59" s="118"/>
    </row>
    <row r="60" ht="15.75" customHeight="1">
      <c r="A60" s="122" t="str">
        <f t="shared" si="12"/>
        <v>মাসের নামঃ- ফেব্রুয়ারী-২০২৩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18"/>
      <c r="V60" s="118"/>
      <c r="W60" s="118"/>
      <c r="X60" s="118"/>
      <c r="Y60" s="118"/>
      <c r="Z60" s="118"/>
      <c r="AA60" s="118"/>
      <c r="AB60" s="118"/>
    </row>
    <row r="61" ht="15.75" customHeight="1">
      <c r="A61" s="13" t="s">
        <v>12</v>
      </c>
      <c r="B61" s="13" t="s">
        <v>13</v>
      </c>
      <c r="C61" s="13" t="s">
        <v>14</v>
      </c>
      <c r="D61" s="19" t="str">
        <f>D47</f>
        <v>নভেম্বর-২১ হতে-জানুয়ারী-২৩ পর্যন্ত  মাসিক ঋণ বিতরন</v>
      </c>
      <c r="E61" s="14"/>
      <c r="F61" s="14"/>
      <c r="G61" s="15"/>
      <c r="H61" s="19" t="s">
        <v>18</v>
      </c>
      <c r="I61" s="14"/>
      <c r="J61" s="14"/>
      <c r="K61" s="14"/>
      <c r="L61" s="14"/>
      <c r="M61" s="14"/>
      <c r="N61" s="14"/>
      <c r="O61" s="14"/>
      <c r="P61" s="14"/>
      <c r="Q61" s="15"/>
      <c r="R61" s="13" t="s">
        <v>20</v>
      </c>
      <c r="S61" s="19" t="s">
        <v>22</v>
      </c>
      <c r="T61" s="15"/>
    </row>
    <row r="62" ht="15.75" customHeight="1">
      <c r="A62" s="25"/>
      <c r="B62" s="25"/>
      <c r="C62" s="25"/>
      <c r="D62" s="26" t="s">
        <v>24</v>
      </c>
      <c r="E62" s="26" t="s">
        <v>26</v>
      </c>
      <c r="F62" s="26" t="s">
        <v>27</v>
      </c>
      <c r="G62" s="26" t="s">
        <v>28</v>
      </c>
      <c r="H62" s="29">
        <f>P48+1</f>
        <v>44987</v>
      </c>
      <c r="I62" s="26" t="s">
        <v>31</v>
      </c>
      <c r="J62" s="29">
        <f>H62+3</f>
        <v>44990</v>
      </c>
      <c r="K62" s="26" t="s">
        <v>31</v>
      </c>
      <c r="L62" s="29">
        <f>J62+1</f>
        <v>44991</v>
      </c>
      <c r="M62" s="26" t="s">
        <v>31</v>
      </c>
      <c r="N62" s="29">
        <f>L62+1</f>
        <v>44992</v>
      </c>
      <c r="O62" s="26" t="s">
        <v>31</v>
      </c>
      <c r="P62" s="29">
        <f>N62+1</f>
        <v>44993</v>
      </c>
      <c r="Q62" s="26" t="s">
        <v>31</v>
      </c>
      <c r="R62" s="25"/>
      <c r="S62" s="26" t="s">
        <v>42</v>
      </c>
      <c r="T62" s="26" t="s">
        <v>44</v>
      </c>
    </row>
    <row r="63" ht="15.75" customHeight="1">
      <c r="A63" s="136" t="s">
        <v>47</v>
      </c>
      <c r="B63" s="138" t="s">
        <v>49</v>
      </c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40"/>
      <c r="R63" s="139"/>
      <c r="S63" s="139"/>
      <c r="T63" s="139"/>
      <c r="U63" s="118"/>
      <c r="V63" s="118"/>
      <c r="W63" s="118"/>
      <c r="X63" s="118"/>
      <c r="Y63" s="118"/>
      <c r="Z63" s="118"/>
      <c r="AA63" s="118"/>
      <c r="AB63" s="118"/>
    </row>
    <row r="64" ht="15.75" customHeight="1">
      <c r="A64" s="136" t="s">
        <v>51</v>
      </c>
      <c r="B64" s="138" t="s">
        <v>52</v>
      </c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40"/>
      <c r="R64" s="139"/>
      <c r="S64" s="139"/>
      <c r="T64" s="139"/>
      <c r="U64" s="118"/>
      <c r="V64" s="118"/>
      <c r="W64" s="118"/>
      <c r="X64" s="118"/>
      <c r="Y64" s="118"/>
      <c r="Z64" s="118"/>
      <c r="AA64" s="118"/>
      <c r="AB64" s="118"/>
    </row>
    <row r="65" ht="15.75" customHeight="1">
      <c r="A65" s="136" t="s">
        <v>54</v>
      </c>
      <c r="B65" s="138" t="s">
        <v>55</v>
      </c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40"/>
      <c r="R65" s="139"/>
      <c r="S65" s="139"/>
      <c r="T65" s="139"/>
      <c r="U65" s="118"/>
      <c r="V65" s="118"/>
      <c r="W65" s="118"/>
      <c r="X65" s="118"/>
      <c r="Y65" s="118"/>
      <c r="Z65" s="118"/>
      <c r="AA65" s="118"/>
      <c r="AB65" s="118"/>
    </row>
    <row r="66" ht="15.75" customHeight="1">
      <c r="A66" s="136" t="s">
        <v>57</v>
      </c>
      <c r="B66" s="138" t="s">
        <v>59</v>
      </c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40"/>
      <c r="R66" s="139"/>
      <c r="S66" s="139"/>
      <c r="T66" s="139"/>
      <c r="U66" s="118"/>
      <c r="V66" s="118"/>
      <c r="W66" s="118"/>
      <c r="X66" s="118"/>
      <c r="Y66" s="118"/>
      <c r="Z66" s="118"/>
      <c r="AA66" s="118"/>
      <c r="AB66" s="118"/>
    </row>
    <row r="67" ht="15.75" customHeight="1">
      <c r="A67" s="136" t="s">
        <v>60</v>
      </c>
      <c r="B67" s="138" t="s">
        <v>61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  <c r="R67" s="139"/>
      <c r="S67" s="139"/>
      <c r="T67" s="139"/>
      <c r="U67" s="118"/>
      <c r="V67" s="118"/>
      <c r="W67" s="118"/>
      <c r="X67" s="118"/>
      <c r="Y67" s="118"/>
      <c r="Z67" s="118"/>
      <c r="AA67" s="118"/>
      <c r="AB67" s="118"/>
    </row>
    <row r="68" ht="15.75" customHeight="1">
      <c r="A68" s="136" t="s">
        <v>63</v>
      </c>
      <c r="B68" s="138" t="s">
        <v>64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40"/>
      <c r="R68" s="139"/>
      <c r="S68" s="139"/>
      <c r="T68" s="139"/>
      <c r="U68" s="118"/>
      <c r="V68" s="118"/>
      <c r="W68" s="118"/>
      <c r="X68" s="118"/>
      <c r="Y68" s="118"/>
      <c r="Z68" s="118"/>
      <c r="AA68" s="118"/>
      <c r="AB68" s="118"/>
    </row>
    <row r="69" ht="15.75" customHeight="1">
      <c r="A69" s="142" t="s">
        <v>28</v>
      </c>
      <c r="B69" s="23"/>
      <c r="C69" s="87"/>
      <c r="D69" s="144">
        <f t="shared" ref="D69:H69" si="13">SUM(D63:D68)</f>
        <v>0</v>
      </c>
      <c r="E69" s="144">
        <f t="shared" si="13"/>
        <v>0</v>
      </c>
      <c r="F69" s="144">
        <f t="shared" si="13"/>
        <v>0</v>
      </c>
      <c r="G69" s="144">
        <f t="shared" si="13"/>
        <v>0</v>
      </c>
      <c r="H69" s="144">
        <f t="shared" si="13"/>
        <v>0</v>
      </c>
      <c r="I69" s="144"/>
      <c r="J69" s="144">
        <f>SUM(J63:J68)</f>
        <v>0</v>
      </c>
      <c r="K69" s="144"/>
      <c r="L69" s="144">
        <f>SUM(L63:L68)</f>
        <v>0</v>
      </c>
      <c r="M69" s="144"/>
      <c r="N69" s="144">
        <f>SUM(N63:N68)</f>
        <v>0</v>
      </c>
      <c r="O69" s="144"/>
      <c r="P69" s="144">
        <f>SUM(P63:P68)</f>
        <v>0</v>
      </c>
      <c r="Q69" s="144"/>
      <c r="R69" s="144">
        <f t="shared" ref="R69:T69" si="14">SUM(R63:R68)</f>
        <v>0</v>
      </c>
      <c r="S69" s="144">
        <f t="shared" si="14"/>
        <v>0</v>
      </c>
      <c r="T69" s="144">
        <f t="shared" si="14"/>
        <v>0</v>
      </c>
      <c r="U69" s="118"/>
      <c r="V69" s="118"/>
      <c r="W69" s="118"/>
      <c r="X69" s="118"/>
      <c r="Y69" s="118"/>
      <c r="Z69" s="118"/>
      <c r="AA69" s="118"/>
      <c r="AB69" s="118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H47:Q47"/>
    <mergeCell ref="R47:R48"/>
    <mergeCell ref="A41:C41"/>
    <mergeCell ref="A43:T43"/>
    <mergeCell ref="A44:T44"/>
    <mergeCell ref="A45:T45"/>
    <mergeCell ref="A46:T46"/>
    <mergeCell ref="A47:A48"/>
    <mergeCell ref="B47:B48"/>
    <mergeCell ref="S47:T47"/>
    <mergeCell ref="A61:A62"/>
    <mergeCell ref="B61:B62"/>
    <mergeCell ref="C61:C62"/>
    <mergeCell ref="D61:G61"/>
    <mergeCell ref="A69:C69"/>
    <mergeCell ref="H61:Q61"/>
    <mergeCell ref="R61:R62"/>
    <mergeCell ref="S61:T61"/>
    <mergeCell ref="C47:C48"/>
    <mergeCell ref="D47:G47"/>
    <mergeCell ref="A55:C55"/>
    <mergeCell ref="A57:T57"/>
    <mergeCell ref="A58:T58"/>
    <mergeCell ref="A59:T59"/>
    <mergeCell ref="A60:T60"/>
    <mergeCell ref="R5:R6"/>
    <mergeCell ref="S5:T5"/>
    <mergeCell ref="A1:T1"/>
    <mergeCell ref="A2:T2"/>
    <mergeCell ref="A3:T3"/>
    <mergeCell ref="A4:T4"/>
    <mergeCell ref="A5:A6"/>
    <mergeCell ref="B5:B6"/>
    <mergeCell ref="C5:C6"/>
    <mergeCell ref="H19:Q19"/>
    <mergeCell ref="R19:R20"/>
    <mergeCell ref="S19:T19"/>
    <mergeCell ref="D5:G5"/>
    <mergeCell ref="H5:Q5"/>
    <mergeCell ref="A13:C13"/>
    <mergeCell ref="A15:T15"/>
    <mergeCell ref="A16:T16"/>
    <mergeCell ref="A17:T17"/>
    <mergeCell ref="A18:T18"/>
    <mergeCell ref="A19:A20"/>
    <mergeCell ref="B19:B20"/>
    <mergeCell ref="C19:C20"/>
    <mergeCell ref="D19:G19"/>
    <mergeCell ref="A27:C27"/>
    <mergeCell ref="A29:T29"/>
    <mergeCell ref="A30:T30"/>
    <mergeCell ref="H33:Q33"/>
    <mergeCell ref="S33:T33"/>
    <mergeCell ref="A31:T31"/>
    <mergeCell ref="A32:T32"/>
    <mergeCell ref="A33:A34"/>
    <mergeCell ref="B33:B34"/>
    <mergeCell ref="C33:C34"/>
    <mergeCell ref="D33:G33"/>
    <mergeCell ref="R33:R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2.63"/>
    <col customWidth="1" min="3" max="3" width="6.75"/>
    <col customWidth="1" min="4" max="4" width="6.38"/>
    <col customWidth="1" min="5" max="6" width="12.63"/>
  </cols>
  <sheetData>
    <row r="1" ht="35.25" customHeight="1">
      <c r="A1" s="175" t="s">
        <v>148</v>
      </c>
    </row>
    <row r="2" ht="18.0" customHeight="1">
      <c r="A2" s="176" t="s">
        <v>149</v>
      </c>
    </row>
    <row r="3" ht="23.25" customHeight="1">
      <c r="A3" s="177" t="s">
        <v>50</v>
      </c>
      <c r="B3" s="23"/>
      <c r="C3" s="178"/>
      <c r="D3" s="44"/>
      <c r="E3" s="179"/>
      <c r="F3" s="23"/>
      <c r="G3" s="23"/>
      <c r="H3" s="23"/>
      <c r="I3" s="23"/>
      <c r="J3" s="23"/>
      <c r="K3" s="23"/>
      <c r="L3" s="23"/>
      <c r="M3" s="23"/>
    </row>
    <row r="4" ht="24.0" customHeight="1">
      <c r="A4" s="180" t="s">
        <v>74</v>
      </c>
      <c r="B4" s="181" t="s">
        <v>53</v>
      </c>
      <c r="C4" s="182" t="s">
        <v>58</v>
      </c>
      <c r="D4" s="15"/>
      <c r="E4" s="183" t="s">
        <v>82</v>
      </c>
      <c r="F4" s="15"/>
      <c r="G4" s="55" t="s">
        <v>88</v>
      </c>
      <c r="H4" s="55" t="s">
        <v>89</v>
      </c>
      <c r="I4" s="184" t="s">
        <v>90</v>
      </c>
      <c r="J4" s="15"/>
      <c r="K4" s="55" t="s">
        <v>92</v>
      </c>
      <c r="L4" s="55" t="s">
        <v>93</v>
      </c>
      <c r="M4" s="55" t="s">
        <v>106</v>
      </c>
      <c r="N4" s="185"/>
    </row>
    <row r="5" ht="26.25" customHeight="1">
      <c r="A5" s="25"/>
      <c r="B5" s="25"/>
      <c r="C5" s="186" t="s">
        <v>109</v>
      </c>
      <c r="D5" s="186" t="s">
        <v>110</v>
      </c>
      <c r="E5" s="186" t="s">
        <v>109</v>
      </c>
      <c r="F5" s="186" t="s">
        <v>110</v>
      </c>
      <c r="G5" s="25"/>
      <c r="H5" s="25"/>
      <c r="I5" s="187" t="s">
        <v>111</v>
      </c>
      <c r="J5" s="186" t="s">
        <v>112</v>
      </c>
      <c r="K5" s="25"/>
      <c r="L5" s="25"/>
      <c r="M5" s="25"/>
      <c r="N5" s="176"/>
    </row>
    <row r="6" ht="21.75" customHeight="1">
      <c r="A6" s="188">
        <v>1.0</v>
      </c>
      <c r="B6" s="189" t="s">
        <v>150</v>
      </c>
      <c r="C6" s="188" t="str">
        <f t="shared" ref="C6:D6" si="1">SUMIF('June-23'!$C:$C,$B$6:$B$11,'June-23'!D:D)</f>
        <v>#N/A</v>
      </c>
      <c r="D6" s="188" t="str">
        <f t="shared" si="1"/>
        <v>#N/A</v>
      </c>
      <c r="E6" s="188" t="str">
        <f t="shared" ref="E6:F6" si="2">SUMIF('June-23'!$C:$C,$B$6:$B$11,'June-23'!G:G)</f>
        <v>#N/A</v>
      </c>
      <c r="F6" s="188" t="str">
        <f t="shared" si="2"/>
        <v>#N/A</v>
      </c>
      <c r="G6" s="188" t="str">
        <f t="shared" ref="G6:L6" si="3">SUMIF('June-23'!$C:$C,$B$6:$B$11,'June-23'!M:M)</f>
        <v>#N/A</v>
      </c>
      <c r="H6" s="188" t="str">
        <f t="shared" si="3"/>
        <v>#N/A</v>
      </c>
      <c r="I6" s="188" t="str">
        <f t="shared" si="3"/>
        <v>#N/A</v>
      </c>
      <c r="J6" s="188" t="str">
        <f t="shared" si="3"/>
        <v>#N/A</v>
      </c>
      <c r="K6" s="188" t="str">
        <f t="shared" si="3"/>
        <v>#N/A</v>
      </c>
      <c r="L6" s="188" t="str">
        <f t="shared" si="3"/>
        <v>#N/A</v>
      </c>
      <c r="M6" s="190" t="str">
        <f t="shared" ref="M6:M12" si="7">H6/G6</f>
        <v>#N/A</v>
      </c>
    </row>
    <row r="7" ht="21.75" customHeight="1">
      <c r="A7" s="188">
        <v>2.0</v>
      </c>
      <c r="B7" s="191" t="s">
        <v>151</v>
      </c>
      <c r="C7" s="188" t="str">
        <f t="shared" ref="C7:D7" si="4">SUMIF('June-23'!$C:$C,$B$6:$B$11,'June-23'!D:D)</f>
        <v>#N/A</v>
      </c>
      <c r="D7" s="188" t="str">
        <f t="shared" si="4"/>
        <v>#N/A</v>
      </c>
      <c r="E7" s="188" t="str">
        <f t="shared" ref="E7:F7" si="5">SUMIF('June-23'!$C:$C,$B$6:$B$11,'June-23'!G:G)</f>
        <v>#N/A</v>
      </c>
      <c r="F7" s="188" t="str">
        <f t="shared" si="5"/>
        <v>#N/A</v>
      </c>
      <c r="G7" s="188" t="str">
        <f t="shared" ref="G7:L7" si="6">SUMIF('June-23'!$C:$C,$B$6:$B$11,'June-23'!M:M)</f>
        <v>#N/A</v>
      </c>
      <c r="H7" s="188" t="str">
        <f t="shared" si="6"/>
        <v>#N/A</v>
      </c>
      <c r="I7" s="188" t="str">
        <f t="shared" si="6"/>
        <v>#N/A</v>
      </c>
      <c r="J7" s="188" t="str">
        <f t="shared" si="6"/>
        <v>#N/A</v>
      </c>
      <c r="K7" s="188" t="str">
        <f t="shared" si="6"/>
        <v>#N/A</v>
      </c>
      <c r="L7" s="188" t="str">
        <f t="shared" si="6"/>
        <v>#N/A</v>
      </c>
      <c r="M7" s="190" t="str">
        <f t="shared" si="7"/>
        <v>#N/A</v>
      </c>
    </row>
    <row r="8" ht="21.75" customHeight="1">
      <c r="A8" s="188">
        <v>3.0</v>
      </c>
      <c r="B8" s="192" t="s">
        <v>115</v>
      </c>
      <c r="C8" s="188" t="str">
        <f t="shared" ref="C8:D8" si="8">SUMIF('June-23'!$C:$C,$B$6:$B$11,'June-23'!D:D)</f>
        <v>#N/A</v>
      </c>
      <c r="D8" s="188" t="str">
        <f t="shared" si="8"/>
        <v>#N/A</v>
      </c>
      <c r="E8" s="188" t="str">
        <f t="shared" ref="E8:F8" si="9">SUMIF('June-23'!$C:$C,$B$6:$B$11,'June-23'!G:G)</f>
        <v>#N/A</v>
      </c>
      <c r="F8" s="188" t="str">
        <f t="shared" si="9"/>
        <v>#N/A</v>
      </c>
      <c r="G8" s="188" t="str">
        <f t="shared" ref="G8:L8" si="10">SUMIF('June-23'!$C:$C,$B$6:$B$11,'June-23'!M:M)</f>
        <v>#N/A</v>
      </c>
      <c r="H8" s="188" t="str">
        <f t="shared" si="10"/>
        <v>#N/A</v>
      </c>
      <c r="I8" s="188" t="str">
        <f t="shared" si="10"/>
        <v>#N/A</v>
      </c>
      <c r="J8" s="188" t="str">
        <f t="shared" si="10"/>
        <v>#N/A</v>
      </c>
      <c r="K8" s="188" t="str">
        <f t="shared" si="10"/>
        <v>#N/A</v>
      </c>
      <c r="L8" s="188" t="str">
        <f t="shared" si="10"/>
        <v>#N/A</v>
      </c>
      <c r="M8" s="190" t="str">
        <f t="shared" si="7"/>
        <v>#N/A</v>
      </c>
    </row>
    <row r="9" ht="21.75" customHeight="1">
      <c r="A9" s="188">
        <v>4.0</v>
      </c>
      <c r="B9" s="189" t="s">
        <v>123</v>
      </c>
      <c r="C9" s="188" t="str">
        <f t="shared" ref="C9:D9" si="11">SUMIF('June-23'!$C:$C,$B$6:$B$11,'June-23'!D:D)</f>
        <v>#N/A</v>
      </c>
      <c r="D9" s="188" t="str">
        <f t="shared" si="11"/>
        <v>#N/A</v>
      </c>
      <c r="E9" s="188" t="str">
        <f t="shared" ref="E9:F9" si="12">SUMIF('June-23'!$C:$C,$B$6:$B$11,'June-23'!G:G)</f>
        <v>#N/A</v>
      </c>
      <c r="F9" s="188" t="str">
        <f t="shared" si="12"/>
        <v>#N/A</v>
      </c>
      <c r="G9" s="188" t="str">
        <f t="shared" ref="G9:L9" si="13">SUMIF('June-23'!$C:$C,$B$6:$B$11,'June-23'!M:M)</f>
        <v>#N/A</v>
      </c>
      <c r="H9" s="188" t="str">
        <f t="shared" si="13"/>
        <v>#N/A</v>
      </c>
      <c r="I9" s="188" t="str">
        <f t="shared" si="13"/>
        <v>#N/A</v>
      </c>
      <c r="J9" s="188" t="str">
        <f t="shared" si="13"/>
        <v>#N/A</v>
      </c>
      <c r="K9" s="188" t="str">
        <f t="shared" si="13"/>
        <v>#N/A</v>
      </c>
      <c r="L9" s="188" t="str">
        <f t="shared" si="13"/>
        <v>#N/A</v>
      </c>
      <c r="M9" s="190" t="str">
        <f t="shared" si="7"/>
        <v>#N/A</v>
      </c>
    </row>
    <row r="10" ht="21.75" customHeight="1">
      <c r="A10" s="194">
        <v>5.0</v>
      </c>
      <c r="B10" s="189" t="s">
        <v>146</v>
      </c>
      <c r="C10" s="188" t="str">
        <f t="shared" ref="C10:D10" si="14">SUMIF('June-23'!$C:$C,$B$6:$B$11,'June-23'!D:D)</f>
        <v>#N/A</v>
      </c>
      <c r="D10" s="188" t="str">
        <f t="shared" si="14"/>
        <v>#N/A</v>
      </c>
      <c r="E10" s="188" t="str">
        <f t="shared" ref="E10:F10" si="15">SUMIF('June-23'!$C:$C,$B$6:$B$11,'June-23'!G:G)</f>
        <v>#N/A</v>
      </c>
      <c r="F10" s="188" t="str">
        <f t="shared" si="15"/>
        <v>#N/A</v>
      </c>
      <c r="G10" s="188" t="str">
        <f t="shared" ref="G10:L10" si="16">SUMIF('June-23'!$C:$C,$B$6:$B$11,'June-23'!M:M)</f>
        <v>#N/A</v>
      </c>
      <c r="H10" s="188" t="str">
        <f t="shared" si="16"/>
        <v>#N/A</v>
      </c>
      <c r="I10" s="188" t="str">
        <f t="shared" si="16"/>
        <v>#N/A</v>
      </c>
      <c r="J10" s="188" t="str">
        <f t="shared" si="16"/>
        <v>#N/A</v>
      </c>
      <c r="K10" s="188" t="str">
        <f t="shared" si="16"/>
        <v>#N/A</v>
      </c>
      <c r="L10" s="188" t="str">
        <f t="shared" si="16"/>
        <v>#N/A</v>
      </c>
      <c r="M10" s="190" t="str">
        <f t="shared" si="7"/>
        <v>#N/A</v>
      </c>
    </row>
    <row r="11" ht="21.75" customHeight="1">
      <c r="A11" s="188">
        <v>6.0</v>
      </c>
      <c r="B11" s="189" t="s">
        <v>152</v>
      </c>
      <c r="C11" s="188" t="str">
        <f t="shared" ref="C11:D11" si="17">SUMIF('June-23'!$C:$C,$B$6:$B$11,'June-23'!D:D)</f>
        <v>#N/A</v>
      </c>
      <c r="D11" s="188" t="str">
        <f t="shared" si="17"/>
        <v>#N/A</v>
      </c>
      <c r="E11" s="188" t="str">
        <f t="shared" ref="E11:F11" si="18">SUMIF('June-23'!$C:$C,$B$6:$B$11,'June-23'!G:G)</f>
        <v>#N/A</v>
      </c>
      <c r="F11" s="188" t="str">
        <f t="shared" si="18"/>
        <v>#N/A</v>
      </c>
      <c r="G11" s="188" t="str">
        <f t="shared" ref="G11:L11" si="19">SUMIF('June-23'!$C:$C,$B$6:$B$11,'June-23'!M:M)</f>
        <v>#N/A</v>
      </c>
      <c r="H11" s="188" t="str">
        <f t="shared" si="19"/>
        <v>#N/A</v>
      </c>
      <c r="I11" s="188" t="str">
        <f t="shared" si="19"/>
        <v>#N/A</v>
      </c>
      <c r="J11" s="188" t="str">
        <f t="shared" si="19"/>
        <v>#N/A</v>
      </c>
      <c r="K11" s="188" t="str">
        <f t="shared" si="19"/>
        <v>#N/A</v>
      </c>
      <c r="L11" s="188" t="str">
        <f t="shared" si="19"/>
        <v>#N/A</v>
      </c>
      <c r="M11" s="190" t="str">
        <f t="shared" si="7"/>
        <v>#N/A</v>
      </c>
    </row>
    <row r="12" ht="21.75" customHeight="1">
      <c r="A12" s="195" t="s">
        <v>96</v>
      </c>
      <c r="B12" s="15"/>
      <c r="C12" s="188" t="str">
        <f t="shared" ref="C12:L12" si="20">SUM(C6:C11)</f>
        <v>#N/A</v>
      </c>
      <c r="D12" s="188" t="str">
        <f t="shared" si="20"/>
        <v>#N/A</v>
      </c>
      <c r="E12" s="188" t="str">
        <f t="shared" si="20"/>
        <v>#N/A</v>
      </c>
      <c r="F12" s="188" t="str">
        <f t="shared" si="20"/>
        <v>#N/A</v>
      </c>
      <c r="G12" s="188" t="str">
        <f t="shared" si="20"/>
        <v>#N/A</v>
      </c>
      <c r="H12" s="188" t="str">
        <f t="shared" si="20"/>
        <v>#N/A</v>
      </c>
      <c r="I12" s="188" t="str">
        <f t="shared" si="20"/>
        <v>#N/A</v>
      </c>
      <c r="J12" s="188" t="str">
        <f t="shared" si="20"/>
        <v>#N/A</v>
      </c>
      <c r="K12" s="188" t="str">
        <f t="shared" si="20"/>
        <v>#N/A</v>
      </c>
      <c r="L12" s="188" t="str">
        <f t="shared" si="20"/>
        <v>#N/A</v>
      </c>
      <c r="M12" s="190" t="str">
        <f t="shared" si="7"/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4:D4"/>
    <mergeCell ref="E4:F4"/>
    <mergeCell ref="A12:B12"/>
    <mergeCell ref="G4:G5"/>
    <mergeCell ref="H4:H5"/>
    <mergeCell ref="I4:J4"/>
    <mergeCell ref="K4:K5"/>
    <mergeCell ref="L4:L5"/>
    <mergeCell ref="M4:M5"/>
    <mergeCell ref="A1:M1"/>
    <mergeCell ref="A2:M2"/>
    <mergeCell ref="A3:B3"/>
    <mergeCell ref="C3:D3"/>
    <mergeCell ref="E3:M3"/>
    <mergeCell ref="A4:A5"/>
    <mergeCell ref="B4:B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8.38"/>
    <col customWidth="1" min="3" max="3" width="5.75"/>
    <col customWidth="1" min="4" max="4" width="7.63"/>
    <col customWidth="1" min="5" max="5" width="5.0"/>
    <col customWidth="1" min="6" max="6" width="7.38"/>
    <col customWidth="1" min="7" max="7" width="6.13"/>
    <col customWidth="1" min="8" max="8" width="8.38"/>
    <col customWidth="1" min="9" max="9" width="10.75"/>
    <col customWidth="1" min="10" max="10" width="9.13"/>
    <col customWidth="1" min="11" max="11" width="9.63"/>
    <col customWidth="1" min="12" max="13" width="9.38"/>
    <col customWidth="1" min="14" max="15" width="8.38"/>
    <col customWidth="1" min="16" max="16" width="8.88"/>
    <col customWidth="1" min="17" max="17" width="8.38"/>
    <col customWidth="1" min="18" max="18" width="8.0"/>
    <col customWidth="1" min="19" max="19" width="9.63"/>
    <col customWidth="1" min="20" max="20" width="9.13"/>
    <col customWidth="1" min="21" max="21" width="9.0"/>
    <col customWidth="1" min="22" max="22" width="9.13"/>
    <col customWidth="1" min="23" max="23" width="9.38"/>
    <col customWidth="1" hidden="1" min="24" max="29" width="8.0"/>
    <col customWidth="1" hidden="1" min="30" max="30" width="7.63"/>
  </cols>
  <sheetData>
    <row r="1" ht="31.5" hidden="1" customHeight="1">
      <c r="A1" s="18"/>
      <c r="Y1" s="6"/>
      <c r="Z1" s="6"/>
      <c r="AA1" s="6"/>
      <c r="AB1" s="6"/>
      <c r="AC1" s="6"/>
      <c r="AD1" s="6"/>
    </row>
    <row r="2" ht="21.0" hidden="1" customHeight="1">
      <c r="A2" s="18"/>
      <c r="Y2" s="6"/>
      <c r="Z2" s="6"/>
      <c r="AA2" s="6"/>
      <c r="AB2" s="6"/>
      <c r="AC2" s="6"/>
      <c r="AD2" s="6"/>
    </row>
    <row r="3" ht="27.75" hidden="1" customHeight="1">
      <c r="A3" s="198"/>
      <c r="Y3" s="6"/>
      <c r="Z3" s="6"/>
      <c r="AA3" s="6"/>
      <c r="AB3" s="6"/>
      <c r="AC3" s="6"/>
      <c r="AD3" s="6"/>
    </row>
    <row r="4" ht="19.5" hidden="1" customHeight="1">
      <c r="A4" s="199"/>
      <c r="B4" s="14"/>
      <c r="C4" s="14"/>
      <c r="D4" s="14"/>
      <c r="E4" s="14"/>
      <c r="F4" s="15"/>
      <c r="G4" s="18"/>
      <c r="H4" s="123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6"/>
      <c r="Z4" s="6"/>
      <c r="AA4" s="6"/>
      <c r="AB4" s="6"/>
      <c r="AC4" s="6"/>
      <c r="AD4" s="6"/>
    </row>
    <row r="5" ht="16.5" hidden="1" customHeight="1">
      <c r="A5" s="200"/>
      <c r="B5" s="200"/>
      <c r="C5" s="200"/>
      <c r="D5" s="155"/>
      <c r="E5" s="15"/>
      <c r="F5" s="155"/>
      <c r="G5" s="15"/>
      <c r="H5" s="155"/>
      <c r="I5" s="15"/>
      <c r="J5" s="155"/>
      <c r="K5" s="15"/>
      <c r="L5" s="155"/>
      <c r="M5" s="15"/>
      <c r="N5" s="155"/>
      <c r="O5" s="15"/>
      <c r="P5" s="200"/>
      <c r="Q5" s="200"/>
      <c r="R5" s="200"/>
      <c r="S5" s="155"/>
      <c r="T5" s="15"/>
      <c r="U5" s="18"/>
      <c r="V5" s="18"/>
      <c r="W5" s="18"/>
      <c r="X5" s="18"/>
      <c r="Y5" s="6"/>
      <c r="Z5" s="6"/>
      <c r="AA5" s="6"/>
      <c r="AB5" s="6"/>
      <c r="AC5" s="6"/>
      <c r="AD5" s="6"/>
    </row>
    <row r="6" ht="16.5" hidden="1" customHeight="1">
      <c r="A6" s="25"/>
      <c r="B6" s="25"/>
      <c r="C6" s="25"/>
      <c r="D6" s="201"/>
      <c r="E6" s="202"/>
      <c r="F6" s="203"/>
      <c r="G6" s="99"/>
      <c r="H6" s="204"/>
      <c r="I6" s="202"/>
      <c r="J6" s="201"/>
      <c r="K6" s="202"/>
      <c r="L6" s="201"/>
      <c r="M6" s="202"/>
      <c r="N6" s="201"/>
      <c r="O6" s="202"/>
      <c r="P6" s="25"/>
      <c r="Q6" s="25"/>
      <c r="R6" s="25"/>
      <c r="S6" s="201"/>
      <c r="T6" s="202"/>
      <c r="U6" s="5"/>
      <c r="V6" s="5"/>
      <c r="W6" s="5"/>
      <c r="X6" s="5"/>
      <c r="Y6" s="6"/>
      <c r="Z6" s="6"/>
      <c r="AA6" s="6"/>
      <c r="AB6" s="6"/>
      <c r="AC6" s="6"/>
      <c r="AD6" s="6"/>
    </row>
    <row r="7" ht="15.75" hidden="1" customHeight="1">
      <c r="A7" s="39"/>
      <c r="B7" s="202"/>
      <c r="C7" s="202"/>
      <c r="D7" s="39"/>
      <c r="E7" s="39"/>
      <c r="F7" s="199"/>
      <c r="G7" s="5"/>
      <c r="H7" s="205"/>
      <c r="I7" s="39"/>
      <c r="J7" s="206"/>
      <c r="K7" s="206"/>
      <c r="L7" s="39"/>
      <c r="M7" s="39"/>
      <c r="N7" s="39"/>
      <c r="O7" s="39"/>
      <c r="P7" s="207"/>
      <c r="Q7" s="208"/>
      <c r="R7" s="208"/>
      <c r="S7" s="208"/>
      <c r="T7" s="208"/>
      <c r="U7" s="5"/>
      <c r="V7" s="5"/>
      <c r="W7" s="5"/>
      <c r="X7" s="5"/>
      <c r="Y7" s="6"/>
      <c r="Z7" s="6"/>
      <c r="AA7" s="6"/>
      <c r="AB7" s="6"/>
      <c r="AC7" s="6"/>
      <c r="AD7" s="6"/>
    </row>
    <row r="8" ht="15.0" hidden="1" customHeight="1">
      <c r="A8" s="39"/>
      <c r="B8" s="202"/>
      <c r="C8" s="202"/>
      <c r="D8" s="39"/>
      <c r="E8" s="39"/>
      <c r="F8" s="199"/>
      <c r="G8" s="5"/>
      <c r="H8" s="205"/>
      <c r="I8" s="39"/>
      <c r="J8" s="206"/>
      <c r="K8" s="206"/>
      <c r="L8" s="39"/>
      <c r="M8" s="39"/>
      <c r="N8" s="39"/>
      <c r="O8" s="39"/>
      <c r="P8" s="207"/>
      <c r="Q8" s="208"/>
      <c r="R8" s="208"/>
      <c r="S8" s="208"/>
      <c r="T8" s="208"/>
      <c r="U8" s="5"/>
      <c r="V8" s="5"/>
      <c r="W8" s="5"/>
      <c r="X8" s="5"/>
      <c r="Y8" s="6"/>
      <c r="Z8" s="6"/>
      <c r="AA8" s="6"/>
      <c r="AB8" s="6"/>
      <c r="AC8" s="6"/>
      <c r="AD8" s="6"/>
    </row>
    <row r="9" ht="15.0" hidden="1" customHeight="1">
      <c r="A9" s="39"/>
      <c r="B9" s="202"/>
      <c r="C9" s="202"/>
      <c r="D9" s="39"/>
      <c r="E9" s="39"/>
      <c r="F9" s="199"/>
      <c r="G9" s="5"/>
      <c r="H9" s="205"/>
      <c r="I9" s="39"/>
      <c r="J9" s="206"/>
      <c r="K9" s="206"/>
      <c r="L9" s="39"/>
      <c r="M9" s="39"/>
      <c r="N9" s="39"/>
      <c r="O9" s="39"/>
      <c r="P9" s="207"/>
      <c r="Q9" s="208"/>
      <c r="R9" s="208"/>
      <c r="S9" s="208"/>
      <c r="T9" s="208"/>
      <c r="U9" s="5"/>
      <c r="V9" s="5"/>
      <c r="W9" s="5"/>
      <c r="X9" s="5"/>
      <c r="Y9" s="6"/>
      <c r="Z9" s="6"/>
      <c r="AA9" s="6"/>
      <c r="AB9" s="6"/>
      <c r="AC9" s="6"/>
      <c r="AD9" s="6"/>
    </row>
    <row r="10" ht="16.5" hidden="1" customHeight="1">
      <c r="A10" s="39"/>
      <c r="B10" s="202"/>
      <c r="C10" s="202"/>
      <c r="D10" s="39"/>
      <c r="E10" s="39"/>
      <c r="F10" s="199"/>
      <c r="G10" s="5"/>
      <c r="H10" s="205"/>
      <c r="I10" s="39"/>
      <c r="J10" s="206"/>
      <c r="K10" s="206"/>
      <c r="L10" s="39"/>
      <c r="M10" s="39"/>
      <c r="N10" s="39"/>
      <c r="O10" s="39"/>
      <c r="P10" s="207"/>
      <c r="Q10" s="208"/>
      <c r="R10" s="208"/>
      <c r="S10" s="208"/>
      <c r="T10" s="208"/>
      <c r="U10" s="5"/>
      <c r="V10" s="5"/>
      <c r="W10" s="5"/>
      <c r="X10" s="5"/>
      <c r="Y10" s="6"/>
      <c r="Z10" s="6"/>
      <c r="AA10" s="6"/>
      <c r="AB10" s="6"/>
      <c r="AC10" s="6"/>
      <c r="AD10" s="6"/>
    </row>
    <row r="11" ht="15.0" hidden="1" customHeight="1">
      <c r="A11" s="39"/>
      <c r="B11" s="202"/>
      <c r="C11" s="202"/>
      <c r="D11" s="39"/>
      <c r="E11" s="39"/>
      <c r="F11" s="199"/>
      <c r="G11" s="5"/>
      <c r="H11" s="205"/>
      <c r="I11" s="39"/>
      <c r="J11" s="206"/>
      <c r="K11" s="206"/>
      <c r="L11" s="39"/>
      <c r="M11" s="39"/>
      <c r="N11" s="39"/>
      <c r="O11" s="39"/>
      <c r="P11" s="207"/>
      <c r="Q11" s="208"/>
      <c r="R11" s="208"/>
      <c r="S11" s="208"/>
      <c r="T11" s="208"/>
      <c r="U11" s="5"/>
      <c r="V11" s="5"/>
      <c r="W11" s="5"/>
      <c r="X11" s="5"/>
      <c r="Y11" s="6"/>
      <c r="Z11" s="6"/>
      <c r="AA11" s="6"/>
      <c r="AB11" s="6"/>
      <c r="AC11" s="6"/>
      <c r="AD11" s="6"/>
    </row>
    <row r="12" ht="18.75" hidden="1" customHeight="1">
      <c r="A12" s="39"/>
      <c r="B12" s="202"/>
      <c r="C12" s="202"/>
      <c r="D12" s="39"/>
      <c r="E12" s="39"/>
      <c r="F12" s="199"/>
      <c r="G12" s="5"/>
      <c r="H12" s="205"/>
      <c r="I12" s="39"/>
      <c r="J12" s="206"/>
      <c r="K12" s="206"/>
      <c r="L12" s="39"/>
      <c r="M12" s="39"/>
      <c r="N12" s="39"/>
      <c r="O12" s="39"/>
      <c r="P12" s="207"/>
      <c r="Q12" s="208"/>
      <c r="R12" s="208"/>
      <c r="S12" s="208"/>
      <c r="T12" s="208"/>
      <c r="U12" s="5"/>
      <c r="V12" s="5"/>
      <c r="W12" s="5"/>
      <c r="X12" s="5"/>
      <c r="Y12" s="6"/>
      <c r="Z12" s="6"/>
      <c r="AA12" s="6"/>
      <c r="AB12" s="6"/>
      <c r="AC12" s="6"/>
      <c r="AD12" s="6"/>
    </row>
    <row r="13" ht="29.25" hidden="1" customHeight="1">
      <c r="A13" s="39"/>
      <c r="B13" s="209"/>
      <c r="C13" s="202"/>
      <c r="D13" s="202"/>
      <c r="E13" s="202"/>
      <c r="F13" s="155"/>
      <c r="G13" s="99"/>
      <c r="H13" s="210"/>
      <c r="I13" s="202"/>
      <c r="J13" s="202"/>
      <c r="K13" s="202"/>
      <c r="L13" s="202"/>
      <c r="M13" s="202"/>
      <c r="N13" s="202"/>
      <c r="O13" s="202"/>
      <c r="P13" s="211"/>
      <c r="Q13" s="202"/>
      <c r="R13" s="202"/>
      <c r="S13" s="202"/>
      <c r="T13" s="202"/>
      <c r="U13" s="5"/>
      <c r="V13" s="5"/>
      <c r="W13" s="5"/>
      <c r="X13" s="5"/>
      <c r="Y13" s="6"/>
      <c r="Z13" s="6"/>
      <c r="AA13" s="6"/>
      <c r="AB13" s="6"/>
      <c r="AC13" s="6"/>
      <c r="AD13" s="6"/>
    </row>
    <row r="14" ht="12.0" hidden="1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  <c r="Z14" s="6"/>
      <c r="AA14" s="6"/>
      <c r="AB14" s="6"/>
      <c r="AC14" s="6"/>
      <c r="AD14" s="6"/>
    </row>
    <row r="15" ht="0.75" hidden="1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212"/>
      <c r="Q15" s="5"/>
      <c r="R15" s="5"/>
      <c r="S15" s="5"/>
      <c r="T15" s="5"/>
      <c r="U15" s="5"/>
      <c r="V15" s="5"/>
      <c r="W15" s="5"/>
      <c r="X15" s="5"/>
      <c r="Y15" s="6"/>
      <c r="Z15" s="6"/>
      <c r="AA15" s="6"/>
      <c r="AB15" s="6"/>
      <c r="AC15" s="6"/>
      <c r="AD15" s="6"/>
    </row>
    <row r="16" ht="27.0" hidden="1" customHeight="1">
      <c r="A16" s="18"/>
      <c r="Y16" s="6"/>
      <c r="Z16" s="6"/>
      <c r="AA16" s="6"/>
      <c r="AB16" s="6"/>
      <c r="AC16" s="6"/>
      <c r="AD16" s="6"/>
    </row>
    <row r="17" ht="16.5" hidden="1" customHeight="1">
      <c r="A17" s="18"/>
      <c r="Y17" s="6"/>
      <c r="Z17" s="6"/>
      <c r="AA17" s="6"/>
      <c r="AB17" s="6"/>
      <c r="AC17" s="6"/>
      <c r="AD17" s="6"/>
    </row>
    <row r="18" ht="25.5" hidden="1" customHeight="1">
      <c r="A18" s="198"/>
      <c r="Y18" s="6"/>
      <c r="Z18" s="6"/>
      <c r="AA18" s="6"/>
      <c r="AB18" s="6"/>
      <c r="AC18" s="6"/>
      <c r="AD18" s="6"/>
    </row>
    <row r="19" ht="22.5" hidden="1" customHeight="1">
      <c r="A19" s="199"/>
      <c r="B19" s="14"/>
      <c r="C19" s="14"/>
      <c r="D19" s="14"/>
      <c r="E19" s="14"/>
      <c r="F19" s="15"/>
      <c r="G19" s="18"/>
      <c r="H19" s="123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6"/>
      <c r="Z19" s="6"/>
      <c r="AA19" s="6"/>
      <c r="AB19" s="6"/>
      <c r="AC19" s="6"/>
      <c r="AD19" s="6"/>
    </row>
    <row r="20" ht="16.5" hidden="1" customHeight="1">
      <c r="A20" s="200"/>
      <c r="B20" s="200"/>
      <c r="C20" s="200"/>
      <c r="D20" s="155"/>
      <c r="E20" s="15"/>
      <c r="F20" s="155"/>
      <c r="G20" s="15"/>
      <c r="H20" s="155"/>
      <c r="I20" s="15"/>
      <c r="J20" s="155"/>
      <c r="K20" s="15"/>
      <c r="L20" s="155"/>
      <c r="M20" s="15"/>
      <c r="N20" s="155"/>
      <c r="O20" s="15"/>
      <c r="P20" s="200"/>
      <c r="Q20" s="200"/>
      <c r="R20" s="200"/>
      <c r="S20" s="155"/>
      <c r="T20" s="15"/>
      <c r="U20" s="208"/>
      <c r="V20" s="18"/>
      <c r="W20" s="18"/>
      <c r="X20" s="18"/>
      <c r="Y20" s="6"/>
      <c r="Z20" s="6"/>
      <c r="AA20" s="6"/>
      <c r="AB20" s="6"/>
      <c r="AC20" s="6"/>
      <c r="AD20" s="6"/>
    </row>
    <row r="21" ht="16.5" hidden="1" customHeight="1">
      <c r="A21" s="25"/>
      <c r="B21" s="25"/>
      <c r="C21" s="25"/>
      <c r="D21" s="201"/>
      <c r="E21" s="202"/>
      <c r="F21" s="203"/>
      <c r="G21" s="99"/>
      <c r="H21" s="204"/>
      <c r="I21" s="202"/>
      <c r="J21" s="201"/>
      <c r="K21" s="202"/>
      <c r="L21" s="201"/>
      <c r="M21" s="202"/>
      <c r="N21" s="201"/>
      <c r="O21" s="202"/>
      <c r="P21" s="25"/>
      <c r="Q21" s="25"/>
      <c r="R21" s="25"/>
      <c r="S21" s="201"/>
      <c r="T21" s="202"/>
      <c r="U21" s="39"/>
      <c r="V21" s="5"/>
      <c r="W21" s="5"/>
      <c r="X21" s="5"/>
      <c r="Y21" s="6"/>
      <c r="Z21" s="6"/>
      <c r="AA21" s="6"/>
      <c r="AB21" s="6"/>
      <c r="AC21" s="6"/>
      <c r="AD21" s="6"/>
    </row>
    <row r="22" ht="16.5" hidden="1" customHeight="1">
      <c r="A22" s="39"/>
      <c r="B22" s="202"/>
      <c r="C22" s="202"/>
      <c r="D22" s="39"/>
      <c r="E22" s="39"/>
      <c r="F22" s="199"/>
      <c r="G22" s="5"/>
      <c r="H22" s="205"/>
      <c r="I22" s="39"/>
      <c r="J22" s="206"/>
      <c r="K22" s="206"/>
      <c r="L22" s="39"/>
      <c r="M22" s="39"/>
      <c r="N22" s="39"/>
      <c r="O22" s="39"/>
      <c r="P22" s="207"/>
      <c r="Q22" s="208"/>
      <c r="R22" s="208"/>
      <c r="S22" s="208"/>
      <c r="T22" s="208"/>
      <c r="U22" s="39"/>
      <c r="V22" s="5"/>
      <c r="W22" s="5"/>
      <c r="X22" s="5"/>
      <c r="Y22" s="6"/>
      <c r="Z22" s="6"/>
      <c r="AA22" s="6"/>
      <c r="AB22" s="6"/>
      <c r="AC22" s="6"/>
      <c r="AD22" s="6"/>
    </row>
    <row r="23" ht="16.5" hidden="1" customHeight="1">
      <c r="A23" s="39"/>
      <c r="B23" s="202"/>
      <c r="C23" s="202"/>
      <c r="D23" s="39"/>
      <c r="E23" s="39"/>
      <c r="F23" s="199"/>
      <c r="G23" s="5"/>
      <c r="H23" s="205"/>
      <c r="I23" s="39"/>
      <c r="J23" s="206"/>
      <c r="K23" s="206"/>
      <c r="L23" s="39"/>
      <c r="M23" s="39"/>
      <c r="N23" s="39"/>
      <c r="O23" s="39"/>
      <c r="P23" s="207"/>
      <c r="Q23" s="208"/>
      <c r="R23" s="208"/>
      <c r="S23" s="208"/>
      <c r="T23" s="208"/>
      <c r="U23" s="39"/>
      <c r="V23" s="5"/>
      <c r="W23" s="5"/>
      <c r="X23" s="5"/>
      <c r="Y23" s="6"/>
      <c r="Z23" s="6"/>
      <c r="AA23" s="6"/>
      <c r="AB23" s="6"/>
      <c r="AC23" s="6"/>
      <c r="AD23" s="6"/>
    </row>
    <row r="24" ht="16.5" hidden="1" customHeight="1">
      <c r="A24" s="39"/>
      <c r="B24" s="202"/>
      <c r="C24" s="202"/>
      <c r="D24" s="39"/>
      <c r="E24" s="39"/>
      <c r="F24" s="199"/>
      <c r="G24" s="5"/>
      <c r="H24" s="205"/>
      <c r="I24" s="39"/>
      <c r="J24" s="206"/>
      <c r="K24" s="206"/>
      <c r="L24" s="39"/>
      <c r="M24" s="39"/>
      <c r="N24" s="39"/>
      <c r="O24" s="39"/>
      <c r="P24" s="207"/>
      <c r="Q24" s="208"/>
      <c r="R24" s="208"/>
      <c r="S24" s="208"/>
      <c r="T24" s="208"/>
      <c r="U24" s="39"/>
      <c r="V24" s="5"/>
      <c r="W24" s="5"/>
      <c r="X24" s="5"/>
      <c r="Y24" s="6"/>
      <c r="Z24" s="6"/>
      <c r="AA24" s="6"/>
      <c r="AB24" s="6"/>
      <c r="AC24" s="6"/>
      <c r="AD24" s="6"/>
    </row>
    <row r="25" ht="16.5" hidden="1" customHeight="1">
      <c r="A25" s="39"/>
      <c r="B25" s="202"/>
      <c r="C25" s="202"/>
      <c r="D25" s="39"/>
      <c r="E25" s="39"/>
      <c r="F25" s="199"/>
      <c r="G25" s="5"/>
      <c r="H25" s="205"/>
      <c r="I25" s="39"/>
      <c r="J25" s="206"/>
      <c r="K25" s="206"/>
      <c r="L25" s="39"/>
      <c r="M25" s="39"/>
      <c r="N25" s="39"/>
      <c r="O25" s="39"/>
      <c r="P25" s="207"/>
      <c r="Q25" s="208"/>
      <c r="R25" s="208"/>
      <c r="S25" s="208"/>
      <c r="T25" s="208"/>
      <c r="U25" s="39"/>
      <c r="V25" s="5"/>
      <c r="W25" s="5"/>
      <c r="X25" s="5"/>
      <c r="Y25" s="6"/>
      <c r="Z25" s="6"/>
      <c r="AA25" s="6"/>
      <c r="AB25" s="6"/>
      <c r="AC25" s="6"/>
      <c r="AD25" s="6"/>
    </row>
    <row r="26" ht="16.5" hidden="1" customHeight="1">
      <c r="A26" s="39"/>
      <c r="B26" s="202"/>
      <c r="C26" s="202"/>
      <c r="D26" s="39"/>
      <c r="E26" s="39"/>
      <c r="F26" s="199"/>
      <c r="G26" s="5"/>
      <c r="H26" s="205"/>
      <c r="I26" s="39"/>
      <c r="J26" s="206"/>
      <c r="K26" s="206"/>
      <c r="L26" s="39"/>
      <c r="M26" s="39"/>
      <c r="N26" s="39"/>
      <c r="O26" s="39"/>
      <c r="P26" s="207"/>
      <c r="Q26" s="208"/>
      <c r="R26" s="208"/>
      <c r="S26" s="208"/>
      <c r="T26" s="208"/>
      <c r="U26" s="39"/>
      <c r="V26" s="5"/>
      <c r="W26" s="5"/>
      <c r="X26" s="5"/>
      <c r="Y26" s="6"/>
      <c r="Z26" s="6"/>
      <c r="AA26" s="6"/>
      <c r="AB26" s="6"/>
      <c r="AC26" s="6"/>
      <c r="AD26" s="6"/>
    </row>
    <row r="27" ht="16.5" hidden="1" customHeight="1">
      <c r="A27" s="39"/>
      <c r="B27" s="202"/>
      <c r="C27" s="202"/>
      <c r="D27" s="39"/>
      <c r="E27" s="39"/>
      <c r="F27" s="199"/>
      <c r="G27" s="5"/>
      <c r="H27" s="205"/>
      <c r="I27" s="39"/>
      <c r="J27" s="206"/>
      <c r="K27" s="206"/>
      <c r="L27" s="39"/>
      <c r="M27" s="39"/>
      <c r="N27" s="39"/>
      <c r="O27" s="39"/>
      <c r="P27" s="207"/>
      <c r="Q27" s="208"/>
      <c r="R27" s="208"/>
      <c r="S27" s="208"/>
      <c r="T27" s="208"/>
      <c r="U27" s="39"/>
      <c r="V27" s="5"/>
      <c r="W27" s="5"/>
      <c r="X27" s="5"/>
      <c r="Y27" s="6"/>
      <c r="Z27" s="6"/>
      <c r="AA27" s="6"/>
      <c r="AB27" s="6"/>
      <c r="AC27" s="6"/>
      <c r="AD27" s="6"/>
    </row>
    <row r="28" ht="16.5" hidden="1" customHeight="1">
      <c r="A28" s="39"/>
      <c r="B28" s="209"/>
      <c r="C28" s="202"/>
      <c r="D28" s="202"/>
      <c r="E28" s="202"/>
      <c r="F28" s="155"/>
      <c r="G28" s="99"/>
      <c r="H28" s="210"/>
      <c r="I28" s="202"/>
      <c r="J28" s="202"/>
      <c r="K28" s="202"/>
      <c r="L28" s="202"/>
      <c r="M28" s="202"/>
      <c r="N28" s="202"/>
      <c r="O28" s="202"/>
      <c r="P28" s="211"/>
      <c r="Q28" s="202"/>
      <c r="R28" s="202"/>
      <c r="S28" s="202"/>
      <c r="T28" s="202"/>
      <c r="U28" s="39"/>
      <c r="V28" s="5"/>
      <c r="W28" s="5"/>
      <c r="X28" s="5"/>
      <c r="Y28" s="6"/>
      <c r="Z28" s="6"/>
      <c r="AA28" s="6"/>
      <c r="AB28" s="6"/>
      <c r="AC28" s="6"/>
      <c r="AD28" s="6"/>
    </row>
    <row r="29" ht="16.5" hidden="1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  <c r="Z29" s="6"/>
      <c r="AA29" s="6"/>
      <c r="AB29" s="6"/>
      <c r="AC29" s="6"/>
      <c r="AD29" s="6"/>
    </row>
    <row r="30" ht="16.5" hidden="1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212"/>
      <c r="Q30" s="5"/>
      <c r="R30" s="6"/>
      <c r="S30" s="5"/>
      <c r="T30" s="5"/>
      <c r="U30" s="5"/>
      <c r="V30" s="5"/>
      <c r="W30" s="5"/>
      <c r="X30" s="5"/>
      <c r="Y30" s="6"/>
      <c r="Z30" s="6"/>
      <c r="AA30" s="6"/>
      <c r="AB30" s="6"/>
      <c r="AC30" s="6"/>
      <c r="AD30" s="6"/>
    </row>
    <row r="31" ht="31.5" hidden="1" customHeight="1">
      <c r="A31" s="18"/>
      <c r="Y31" s="6"/>
      <c r="Z31" s="6"/>
      <c r="AA31" s="6"/>
      <c r="AB31" s="6"/>
      <c r="AC31" s="6"/>
      <c r="AD31" s="6"/>
    </row>
    <row r="32" ht="21.0" hidden="1" customHeight="1">
      <c r="A32" s="18"/>
      <c r="Y32" s="6"/>
      <c r="Z32" s="6"/>
      <c r="AA32" s="6"/>
      <c r="AB32" s="6"/>
      <c r="AC32" s="6"/>
      <c r="AD32" s="6"/>
    </row>
    <row r="33" ht="27.75" hidden="1" customHeight="1">
      <c r="A33" s="198"/>
      <c r="Y33" s="6"/>
      <c r="Z33" s="6"/>
      <c r="AA33" s="6"/>
      <c r="AB33" s="6"/>
      <c r="AC33" s="6"/>
      <c r="AD33" s="6"/>
    </row>
    <row r="34" ht="24.75" hidden="1" customHeight="1">
      <c r="A34" s="199"/>
      <c r="B34" s="14"/>
      <c r="C34" s="14"/>
      <c r="D34" s="14"/>
      <c r="E34" s="14"/>
      <c r="F34" s="15"/>
      <c r="G34" s="18"/>
      <c r="H34" s="123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6"/>
      <c r="Z34" s="6"/>
      <c r="AA34" s="6"/>
      <c r="AB34" s="6"/>
      <c r="AC34" s="6"/>
      <c r="AD34" s="6"/>
    </row>
    <row r="35" ht="16.5" hidden="1" customHeight="1">
      <c r="A35" s="200"/>
      <c r="B35" s="200"/>
      <c r="C35" s="200"/>
      <c r="D35" s="155"/>
      <c r="E35" s="15"/>
      <c r="F35" s="155"/>
      <c r="G35" s="15"/>
      <c r="H35" s="155"/>
      <c r="I35" s="15"/>
      <c r="J35" s="155"/>
      <c r="K35" s="15"/>
      <c r="L35" s="155"/>
      <c r="M35" s="15"/>
      <c r="N35" s="155"/>
      <c r="O35" s="15"/>
      <c r="P35" s="200"/>
      <c r="Q35" s="200"/>
      <c r="R35" s="200"/>
      <c r="S35" s="155"/>
      <c r="T35" s="15"/>
      <c r="U35" s="18"/>
      <c r="V35" s="18"/>
      <c r="W35" s="18"/>
      <c r="X35" s="18"/>
      <c r="Y35" s="6"/>
      <c r="Z35" s="6"/>
      <c r="AA35" s="6"/>
      <c r="AB35" s="6"/>
      <c r="AC35" s="6"/>
      <c r="AD35" s="6"/>
    </row>
    <row r="36" ht="16.5" hidden="1" customHeight="1">
      <c r="A36" s="25"/>
      <c r="B36" s="25"/>
      <c r="C36" s="25"/>
      <c r="D36" s="201"/>
      <c r="E36" s="202"/>
      <c r="F36" s="203"/>
      <c r="G36" s="99"/>
      <c r="H36" s="204"/>
      <c r="I36" s="202"/>
      <c r="J36" s="201"/>
      <c r="K36" s="202"/>
      <c r="L36" s="201"/>
      <c r="M36" s="202"/>
      <c r="N36" s="201"/>
      <c r="O36" s="202"/>
      <c r="P36" s="25"/>
      <c r="Q36" s="25"/>
      <c r="R36" s="25"/>
      <c r="S36" s="201"/>
      <c r="T36" s="202"/>
      <c r="U36" s="5"/>
      <c r="V36" s="5"/>
      <c r="W36" s="5"/>
      <c r="X36" s="5"/>
      <c r="Y36" s="6"/>
      <c r="Z36" s="6"/>
      <c r="AA36" s="6"/>
      <c r="AB36" s="6"/>
      <c r="AC36" s="6"/>
      <c r="AD36" s="6"/>
    </row>
    <row r="37" ht="16.5" hidden="1" customHeight="1">
      <c r="A37" s="39"/>
      <c r="B37" s="202"/>
      <c r="C37" s="202"/>
      <c r="D37" s="39"/>
      <c r="E37" s="39"/>
      <c r="F37" s="199"/>
      <c r="G37" s="5"/>
      <c r="H37" s="205"/>
      <c r="I37" s="39"/>
      <c r="J37" s="206"/>
      <c r="K37" s="206"/>
      <c r="L37" s="39"/>
      <c r="M37" s="39"/>
      <c r="N37" s="39"/>
      <c r="O37" s="39"/>
      <c r="P37" s="207"/>
      <c r="Q37" s="208"/>
      <c r="R37" s="208"/>
      <c r="S37" s="208"/>
      <c r="T37" s="208"/>
      <c r="U37" s="5"/>
      <c r="V37" s="5"/>
      <c r="W37" s="5"/>
      <c r="X37" s="5"/>
      <c r="Y37" s="6"/>
      <c r="Z37" s="6"/>
      <c r="AA37" s="6"/>
      <c r="AB37" s="6"/>
      <c r="AC37" s="6"/>
      <c r="AD37" s="6"/>
    </row>
    <row r="38" ht="16.5" hidden="1" customHeight="1">
      <c r="A38" s="39"/>
      <c r="B38" s="202"/>
      <c r="C38" s="202"/>
      <c r="D38" s="39"/>
      <c r="E38" s="39"/>
      <c r="F38" s="199"/>
      <c r="G38" s="5"/>
      <c r="H38" s="205"/>
      <c r="I38" s="39"/>
      <c r="J38" s="206"/>
      <c r="K38" s="206"/>
      <c r="L38" s="39"/>
      <c r="M38" s="39"/>
      <c r="N38" s="39"/>
      <c r="O38" s="39"/>
      <c r="P38" s="207"/>
      <c r="Q38" s="208"/>
      <c r="R38" s="208"/>
      <c r="S38" s="208"/>
      <c r="T38" s="208"/>
      <c r="U38" s="5"/>
      <c r="V38" s="5"/>
      <c r="W38" s="5"/>
      <c r="X38" s="5"/>
      <c r="Y38" s="6"/>
      <c r="Z38" s="6"/>
      <c r="AA38" s="6"/>
      <c r="AB38" s="6"/>
      <c r="AC38" s="6"/>
      <c r="AD38" s="6"/>
    </row>
    <row r="39" ht="16.5" hidden="1" customHeight="1">
      <c r="A39" s="39"/>
      <c r="B39" s="202"/>
      <c r="C39" s="202"/>
      <c r="D39" s="39"/>
      <c r="E39" s="39"/>
      <c r="F39" s="199"/>
      <c r="G39" s="5"/>
      <c r="H39" s="205"/>
      <c r="I39" s="39"/>
      <c r="J39" s="206"/>
      <c r="K39" s="206"/>
      <c r="L39" s="39"/>
      <c r="M39" s="39"/>
      <c r="N39" s="39"/>
      <c r="O39" s="39"/>
      <c r="P39" s="207"/>
      <c r="Q39" s="208"/>
      <c r="R39" s="208"/>
      <c r="S39" s="208"/>
      <c r="T39" s="208"/>
      <c r="U39" s="5"/>
      <c r="V39" s="5"/>
      <c r="W39" s="5"/>
      <c r="X39" s="5"/>
      <c r="Y39" s="6"/>
      <c r="Z39" s="6"/>
      <c r="AA39" s="6"/>
      <c r="AB39" s="6"/>
      <c r="AC39" s="6"/>
      <c r="AD39" s="6"/>
    </row>
    <row r="40" ht="16.5" hidden="1" customHeight="1">
      <c r="A40" s="39"/>
      <c r="B40" s="202"/>
      <c r="C40" s="202"/>
      <c r="D40" s="39"/>
      <c r="E40" s="39"/>
      <c r="F40" s="199"/>
      <c r="G40" s="5"/>
      <c r="H40" s="205"/>
      <c r="I40" s="39"/>
      <c r="J40" s="206"/>
      <c r="K40" s="206"/>
      <c r="L40" s="39"/>
      <c r="M40" s="39"/>
      <c r="N40" s="39"/>
      <c r="O40" s="39"/>
      <c r="P40" s="207"/>
      <c r="Q40" s="208"/>
      <c r="R40" s="208"/>
      <c r="S40" s="208"/>
      <c r="T40" s="208"/>
      <c r="U40" s="5"/>
      <c r="V40" s="5"/>
      <c r="W40" s="5"/>
      <c r="X40" s="5"/>
      <c r="Y40" s="6"/>
      <c r="Z40" s="6"/>
      <c r="AA40" s="6"/>
      <c r="AB40" s="6"/>
      <c r="AC40" s="6"/>
      <c r="AD40" s="6"/>
    </row>
    <row r="41" ht="16.5" hidden="1" customHeight="1">
      <c r="A41" s="39"/>
      <c r="B41" s="202"/>
      <c r="C41" s="202"/>
      <c r="D41" s="39"/>
      <c r="E41" s="39"/>
      <c r="F41" s="199"/>
      <c r="G41" s="5"/>
      <c r="H41" s="205"/>
      <c r="I41" s="39"/>
      <c r="J41" s="206"/>
      <c r="K41" s="206"/>
      <c r="L41" s="39"/>
      <c r="M41" s="39"/>
      <c r="N41" s="39"/>
      <c r="O41" s="39"/>
      <c r="P41" s="207"/>
      <c r="Q41" s="208"/>
      <c r="R41" s="208"/>
      <c r="S41" s="208"/>
      <c r="T41" s="208"/>
      <c r="U41" s="5"/>
      <c r="V41" s="5"/>
      <c r="W41" s="5"/>
      <c r="X41" s="5"/>
      <c r="Y41" s="6"/>
      <c r="Z41" s="6"/>
      <c r="AA41" s="6"/>
      <c r="AB41" s="6"/>
      <c r="AC41" s="6"/>
      <c r="AD41" s="6"/>
    </row>
    <row r="42" ht="16.5" hidden="1" customHeight="1">
      <c r="A42" s="39"/>
      <c r="B42" s="202"/>
      <c r="C42" s="202"/>
      <c r="D42" s="39"/>
      <c r="E42" s="39"/>
      <c r="F42" s="199"/>
      <c r="G42" s="5"/>
      <c r="H42" s="205"/>
      <c r="I42" s="39"/>
      <c r="J42" s="206"/>
      <c r="K42" s="206"/>
      <c r="L42" s="39"/>
      <c r="M42" s="39"/>
      <c r="N42" s="39"/>
      <c r="O42" s="39"/>
      <c r="P42" s="207"/>
      <c r="Q42" s="208"/>
      <c r="R42" s="208"/>
      <c r="S42" s="208"/>
      <c r="T42" s="208"/>
      <c r="U42" s="5"/>
      <c r="V42" s="5"/>
      <c r="W42" s="5"/>
      <c r="X42" s="5"/>
      <c r="Y42" s="6"/>
      <c r="Z42" s="6"/>
      <c r="AA42" s="6"/>
      <c r="AB42" s="6"/>
      <c r="AC42" s="6"/>
      <c r="AD42" s="6"/>
    </row>
    <row r="43" ht="16.5" hidden="1" customHeight="1">
      <c r="A43" s="39"/>
      <c r="B43" s="209"/>
      <c r="C43" s="202"/>
      <c r="D43" s="202"/>
      <c r="E43" s="202"/>
      <c r="F43" s="155"/>
      <c r="G43" s="99"/>
      <c r="H43" s="210"/>
      <c r="I43" s="202"/>
      <c r="J43" s="202"/>
      <c r="K43" s="202"/>
      <c r="L43" s="200"/>
      <c r="M43" s="200"/>
      <c r="N43" s="200"/>
      <c r="O43" s="200"/>
      <c r="P43" s="213"/>
      <c r="Q43" s="200"/>
      <c r="R43" s="200"/>
      <c r="S43" s="200"/>
      <c r="T43" s="202"/>
      <c r="U43" s="5"/>
      <c r="V43" s="5"/>
      <c r="W43" s="5"/>
      <c r="X43" s="5"/>
      <c r="Y43" s="6"/>
      <c r="Z43" s="6"/>
      <c r="AA43" s="6"/>
      <c r="AB43" s="6"/>
      <c r="AC43" s="6"/>
      <c r="AD43" s="6"/>
    </row>
    <row r="44" ht="22.5" customHeight="1">
      <c r="A44" s="2" t="s">
        <v>2</v>
      </c>
      <c r="X44" s="5"/>
      <c r="Y44" s="6"/>
      <c r="Z44" s="6"/>
      <c r="AA44" s="6"/>
      <c r="AB44" s="6"/>
      <c r="AC44" s="6"/>
      <c r="AD44" s="6"/>
    </row>
    <row r="45" ht="46.5" customHeight="1">
      <c r="X45" s="5"/>
      <c r="Y45" s="6"/>
      <c r="Z45" s="6"/>
      <c r="AA45" s="6"/>
      <c r="AB45" s="6"/>
      <c r="AC45" s="6"/>
      <c r="AD45" s="6"/>
    </row>
    <row r="46" ht="31.5" customHeight="1">
      <c r="A46" s="214" t="s">
        <v>153</v>
      </c>
      <c r="X46" s="10"/>
      <c r="Y46" s="6"/>
      <c r="Z46" s="6"/>
      <c r="AA46" s="6"/>
      <c r="AB46" s="6"/>
      <c r="AC46" s="6"/>
      <c r="AD46" s="6"/>
    </row>
    <row r="47" ht="28.5" customHeight="1">
      <c r="A47" s="12" t="s">
        <v>154</v>
      </c>
      <c r="B47" s="14"/>
      <c r="C47" s="14"/>
      <c r="D47" s="14"/>
      <c r="E47" s="14"/>
      <c r="F47" s="15"/>
      <c r="G47" s="18"/>
      <c r="H47" s="123"/>
      <c r="I47" s="18"/>
      <c r="J47" s="18"/>
      <c r="K47" s="18" t="s">
        <v>0</v>
      </c>
      <c r="L47" s="18"/>
      <c r="M47" s="16" t="s">
        <v>15</v>
      </c>
      <c r="N47" s="18"/>
      <c r="O47" s="18"/>
      <c r="P47" s="18"/>
      <c r="Q47" s="18" t="s">
        <v>17</v>
      </c>
      <c r="R47" s="18"/>
      <c r="S47" s="18"/>
      <c r="T47" s="18"/>
      <c r="U47" s="18"/>
      <c r="V47" s="18"/>
      <c r="W47" s="18"/>
      <c r="X47" s="18"/>
      <c r="Y47" s="18"/>
      <c r="Z47" s="22" t="s">
        <v>19</v>
      </c>
      <c r="AA47" s="23"/>
      <c r="AB47" s="18"/>
      <c r="AC47" s="18"/>
      <c r="AD47" s="18"/>
    </row>
    <row r="48" ht="29.25" customHeight="1">
      <c r="A48" s="24" t="s">
        <v>21</v>
      </c>
      <c r="B48" s="151" t="s">
        <v>14</v>
      </c>
      <c r="C48" s="151" t="s">
        <v>23</v>
      </c>
      <c r="D48" s="156" t="s">
        <v>25</v>
      </c>
      <c r="E48" s="15"/>
      <c r="F48" s="156" t="s">
        <v>29</v>
      </c>
      <c r="G48" s="15"/>
      <c r="H48" s="156" t="s">
        <v>30</v>
      </c>
      <c r="I48" s="15"/>
      <c r="J48" s="156" t="s">
        <v>32</v>
      </c>
      <c r="K48" s="15"/>
      <c r="L48" s="156" t="s">
        <v>33</v>
      </c>
      <c r="M48" s="15"/>
      <c r="N48" s="156" t="s">
        <v>34</v>
      </c>
      <c r="O48" s="15"/>
      <c r="P48" s="151" t="s">
        <v>35</v>
      </c>
      <c r="Q48" s="151" t="s">
        <v>36</v>
      </c>
      <c r="R48" s="151" t="s">
        <v>37</v>
      </c>
      <c r="S48" s="156" t="s">
        <v>38</v>
      </c>
      <c r="T48" s="14"/>
      <c r="U48" s="15"/>
      <c r="V48" s="156" t="s">
        <v>156</v>
      </c>
      <c r="W48" s="15"/>
      <c r="X48" s="18"/>
      <c r="Y48" s="6"/>
      <c r="Z48" s="6"/>
      <c r="AA48" s="6"/>
      <c r="AB48" s="6"/>
      <c r="AC48" s="6"/>
      <c r="AD48" s="6"/>
    </row>
    <row r="49" ht="31.5" customHeight="1">
      <c r="A49" s="25"/>
      <c r="B49" s="25"/>
      <c r="C49" s="25"/>
      <c r="D49" s="36" t="s">
        <v>35</v>
      </c>
      <c r="E49" s="158" t="s">
        <v>28</v>
      </c>
      <c r="F49" s="36" t="s">
        <v>35</v>
      </c>
      <c r="G49" s="158" t="s">
        <v>28</v>
      </c>
      <c r="H49" s="158" t="s">
        <v>35</v>
      </c>
      <c r="I49" s="158" t="s">
        <v>28</v>
      </c>
      <c r="J49" s="158" t="s">
        <v>35</v>
      </c>
      <c r="K49" s="158" t="s">
        <v>28</v>
      </c>
      <c r="L49" s="158" t="s">
        <v>35</v>
      </c>
      <c r="M49" s="158" t="s">
        <v>28</v>
      </c>
      <c r="N49" s="158" t="s">
        <v>41</v>
      </c>
      <c r="O49" s="158" t="s">
        <v>43</v>
      </c>
      <c r="P49" s="25"/>
      <c r="Q49" s="25"/>
      <c r="R49" s="25"/>
      <c r="S49" s="158" t="s">
        <v>45</v>
      </c>
      <c r="T49" s="158" t="s">
        <v>46</v>
      </c>
      <c r="U49" s="158" t="s">
        <v>48</v>
      </c>
      <c r="V49" s="158" t="s">
        <v>42</v>
      </c>
      <c r="W49" s="158" t="s">
        <v>44</v>
      </c>
      <c r="X49" s="5"/>
      <c r="Y49" s="6"/>
      <c r="Z49" s="6"/>
      <c r="AA49" s="6"/>
      <c r="AB49" s="6"/>
      <c r="AC49" s="6"/>
      <c r="AD49" s="6"/>
    </row>
    <row r="50" ht="30.0" customHeight="1">
      <c r="A50" s="39">
        <v>1.0</v>
      </c>
      <c r="B50" s="45" t="s">
        <v>56</v>
      </c>
      <c r="C50" s="47">
        <v>58.0</v>
      </c>
      <c r="D50" s="47">
        <v>-94.0</v>
      </c>
      <c r="E50" s="47">
        <v>832.0</v>
      </c>
      <c r="F50" s="48">
        <v>-4.0</v>
      </c>
      <c r="G50" s="47">
        <v>696.0</v>
      </c>
      <c r="H50" s="49">
        <v>845055.0</v>
      </c>
      <c r="I50" s="51">
        <v>1.6872121E7</v>
      </c>
      <c r="J50" s="52">
        <v>282700.0</v>
      </c>
      <c r="K50" s="52">
        <v>5.9470091E7</v>
      </c>
      <c r="L50" s="47">
        <v>42539.0</v>
      </c>
      <c r="M50" s="47">
        <v>2685411.0</v>
      </c>
      <c r="N50" s="78">
        <v>98.44</v>
      </c>
      <c r="O50" s="78">
        <v>98.69</v>
      </c>
      <c r="P50" s="78">
        <f t="shared" ref="P50:P54" si="1">O50-N50</f>
        <v>0.25</v>
      </c>
      <c r="Q50" s="47">
        <v>50890.0</v>
      </c>
      <c r="R50" s="47">
        <v>769229.0</v>
      </c>
      <c r="S50" s="59">
        <v>-136199.0</v>
      </c>
      <c r="T50" s="59">
        <v>667340.0</v>
      </c>
      <c r="U50" s="47">
        <v>3296495.0</v>
      </c>
      <c r="V50" s="47">
        <v>49.0</v>
      </c>
      <c r="W50" s="47">
        <v>6720000.0</v>
      </c>
      <c r="X50" s="5"/>
      <c r="Y50" s="6"/>
      <c r="Z50" s="6"/>
      <c r="AA50" s="6"/>
      <c r="AB50" s="6"/>
      <c r="AC50" s="6"/>
      <c r="AD50" s="6"/>
    </row>
    <row r="51" ht="30.0" customHeight="1">
      <c r="A51" s="39">
        <v>2.0</v>
      </c>
      <c r="B51" s="61" t="s">
        <v>76</v>
      </c>
      <c r="C51" s="47">
        <v>63.0</v>
      </c>
      <c r="D51" s="47">
        <v>-99.0</v>
      </c>
      <c r="E51" s="47">
        <v>851.0</v>
      </c>
      <c r="F51" s="48">
        <v>10.0</v>
      </c>
      <c r="G51" s="47">
        <v>692.0</v>
      </c>
      <c r="H51" s="62">
        <v>806639.0</v>
      </c>
      <c r="I51" s="47">
        <v>1.5617974E7</v>
      </c>
      <c r="J51" s="52">
        <v>1593716.0</v>
      </c>
      <c r="K51" s="52">
        <v>5.1081813E7</v>
      </c>
      <c r="L51" s="47">
        <v>-15077.0</v>
      </c>
      <c r="M51" s="47">
        <v>2867330.0</v>
      </c>
      <c r="N51" s="78">
        <v>99.01</v>
      </c>
      <c r="O51" s="78">
        <v>99.64</v>
      </c>
      <c r="P51" s="78">
        <f t="shared" si="1"/>
        <v>0.63</v>
      </c>
      <c r="Q51" s="47">
        <v>28.0</v>
      </c>
      <c r="R51" s="47">
        <v>414828.0</v>
      </c>
      <c r="S51" s="59">
        <v>142382.0</v>
      </c>
      <c r="T51" s="47">
        <v>2021237.0</v>
      </c>
      <c r="U51" s="47">
        <v>8911723.0</v>
      </c>
      <c r="V51" s="47">
        <v>58.0</v>
      </c>
      <c r="W51" s="47">
        <v>7375000.0</v>
      </c>
      <c r="X51" s="5"/>
      <c r="Y51" s="6"/>
      <c r="Z51" s="6"/>
      <c r="AA51" s="6"/>
      <c r="AB51" s="6"/>
      <c r="AC51" s="6"/>
      <c r="AD51" s="6"/>
    </row>
    <row r="52" ht="30.75" customHeight="1">
      <c r="A52" s="39">
        <v>3.0</v>
      </c>
      <c r="B52" s="61" t="s">
        <v>83</v>
      </c>
      <c r="C52" s="47">
        <v>69.0</v>
      </c>
      <c r="D52" s="47">
        <v>-27.0</v>
      </c>
      <c r="E52" s="47">
        <v>767.0</v>
      </c>
      <c r="F52" s="48">
        <f>7</f>
        <v>7</v>
      </c>
      <c r="G52" s="47">
        <v>649.0</v>
      </c>
      <c r="H52" s="62">
        <v>1234353.0</v>
      </c>
      <c r="I52" s="47">
        <v>1.8618343E7</v>
      </c>
      <c r="J52" s="52">
        <v>1393639.0</v>
      </c>
      <c r="K52" s="52">
        <v>5.2128856E7</v>
      </c>
      <c r="L52" s="47">
        <v>24483.0</v>
      </c>
      <c r="M52" s="47">
        <v>2588821.0</v>
      </c>
      <c r="N52" s="78">
        <v>99.05</v>
      </c>
      <c r="O52" s="53">
        <f>J62/I62%</f>
        <v>99.05970238</v>
      </c>
      <c r="P52" s="53">
        <f t="shared" si="1"/>
        <v>0.009702376032</v>
      </c>
      <c r="Q52" s="47">
        <v>785.0</v>
      </c>
      <c r="R52" s="47">
        <v>562448.0</v>
      </c>
      <c r="S52" s="59">
        <v>68297.0</v>
      </c>
      <c r="T52" s="47">
        <v>2077801.0</v>
      </c>
      <c r="U52" s="47">
        <v>1.0389492E7</v>
      </c>
      <c r="V52" s="47">
        <v>49.0</v>
      </c>
      <c r="W52" s="47">
        <v>7360000.0</v>
      </c>
      <c r="X52" s="5"/>
      <c r="Y52" s="6"/>
      <c r="Z52" s="6"/>
      <c r="AA52" s="6"/>
      <c r="AB52" s="6"/>
      <c r="AC52" s="6"/>
      <c r="AD52" s="6"/>
    </row>
    <row r="53" ht="30.0" customHeight="1">
      <c r="A53" s="39">
        <v>4.0</v>
      </c>
      <c r="B53" s="61" t="s">
        <v>87</v>
      </c>
      <c r="C53" s="47">
        <v>60.0</v>
      </c>
      <c r="D53" s="47">
        <v>-102.0</v>
      </c>
      <c r="E53" s="47">
        <v>897.0</v>
      </c>
      <c r="F53" s="48">
        <v>-8.0</v>
      </c>
      <c r="G53" s="47">
        <v>767.0</v>
      </c>
      <c r="H53" s="62">
        <v>852505.0</v>
      </c>
      <c r="I53" s="47">
        <v>2.1964653E7</v>
      </c>
      <c r="J53" s="52">
        <v>2504987.0</v>
      </c>
      <c r="K53" s="52">
        <v>6.771894E7</v>
      </c>
      <c r="L53" s="47">
        <v>-420.0</v>
      </c>
      <c r="M53" s="47">
        <v>2536589.0</v>
      </c>
      <c r="N53" s="78">
        <v>98.91</v>
      </c>
      <c r="O53" s="78">
        <v>99.04</v>
      </c>
      <c r="P53" s="78">
        <f t="shared" si="1"/>
        <v>0.13</v>
      </c>
      <c r="Q53" s="47">
        <v>42505.0</v>
      </c>
      <c r="R53" s="47">
        <v>484299.0</v>
      </c>
      <c r="S53" s="59">
        <v>80858.0</v>
      </c>
      <c r="T53" s="47">
        <v>2501540.0</v>
      </c>
      <c r="U53" s="47">
        <v>4156703.0</v>
      </c>
      <c r="V53" s="47">
        <v>62.0</v>
      </c>
      <c r="W53" s="47">
        <v>1.0125E7</v>
      </c>
      <c r="X53" s="5"/>
      <c r="Y53" s="6"/>
      <c r="Z53" s="6"/>
      <c r="AA53" s="6"/>
      <c r="AB53" s="6"/>
      <c r="AC53" s="6"/>
      <c r="AD53" s="6"/>
    </row>
    <row r="54" ht="29.25" customHeight="1">
      <c r="A54" s="39">
        <v>5.0</v>
      </c>
      <c r="B54" s="61" t="s">
        <v>91</v>
      </c>
      <c r="C54" s="47">
        <v>72.0</v>
      </c>
      <c r="D54" s="47">
        <f>Helper!B3-Helper!A3</f>
        <v>4</v>
      </c>
      <c r="E54" s="47">
        <f>Helper!B3</f>
        <v>897</v>
      </c>
      <c r="F54" s="47">
        <v>8.0</v>
      </c>
      <c r="G54" s="47">
        <v>747.0</v>
      </c>
      <c r="H54" s="47">
        <f>Helper!F3-Helper!E3</f>
        <v>289524</v>
      </c>
      <c r="I54" s="47">
        <f>Helper!F3</f>
        <v>16266960</v>
      </c>
      <c r="J54" s="47">
        <v>1233996.0</v>
      </c>
      <c r="K54" s="47">
        <v>5.055802E7</v>
      </c>
      <c r="L54" s="47">
        <v>-40662.0</v>
      </c>
      <c r="M54" s="47">
        <v>2481193.0</v>
      </c>
      <c r="N54" s="53">
        <f>4947896/4983008*100</f>
        <v>99.29536537</v>
      </c>
      <c r="O54" s="53">
        <f>J64/I64%</f>
        <v>99.14519364</v>
      </c>
      <c r="P54" s="53">
        <f t="shared" si="1"/>
        <v>-0.1501717289</v>
      </c>
      <c r="Q54" s="47">
        <v>66407.0</v>
      </c>
      <c r="R54" s="74">
        <v>1361296.0</v>
      </c>
      <c r="S54" s="59">
        <v>243934.0</v>
      </c>
      <c r="T54" s="47">
        <v>2776874.0</v>
      </c>
      <c r="U54" s="47">
        <v>1.6830905E7</v>
      </c>
      <c r="V54" s="47">
        <v>62.0</v>
      </c>
      <c r="W54" s="47">
        <v>6946000.0</v>
      </c>
      <c r="X54" s="5"/>
      <c r="Y54" s="6"/>
      <c r="Z54" s="6"/>
      <c r="AA54" s="6"/>
      <c r="AB54" s="6"/>
      <c r="AC54" s="6"/>
      <c r="AD54" s="6"/>
    </row>
    <row r="55" ht="30.75" customHeight="1">
      <c r="A55" s="39"/>
      <c r="B55" s="61" t="s">
        <v>98</v>
      </c>
      <c r="C55" s="78">
        <f t="shared" ref="C55:M55" si="2">SUM(C50:C54)</f>
        <v>322</v>
      </c>
      <c r="D55" s="78">
        <f t="shared" si="2"/>
        <v>-318</v>
      </c>
      <c r="E55" s="78">
        <f t="shared" si="2"/>
        <v>4244</v>
      </c>
      <c r="F55" s="78">
        <f t="shared" si="2"/>
        <v>13</v>
      </c>
      <c r="G55" s="78">
        <f t="shared" si="2"/>
        <v>3551</v>
      </c>
      <c r="H55" s="78">
        <f t="shared" si="2"/>
        <v>4028076</v>
      </c>
      <c r="I55" s="78">
        <f t="shared" si="2"/>
        <v>89340051</v>
      </c>
      <c r="J55" s="83">
        <f t="shared" si="2"/>
        <v>7009038</v>
      </c>
      <c r="K55" s="83">
        <f t="shared" si="2"/>
        <v>280957720</v>
      </c>
      <c r="L55" s="78">
        <f t="shared" si="2"/>
        <v>10863</v>
      </c>
      <c r="M55" s="78">
        <f t="shared" si="2"/>
        <v>13159344</v>
      </c>
      <c r="N55" s="53">
        <f t="shared" ref="N55:O55" si="3">AVERAGE(N50:N54)</f>
        <v>98.94107307</v>
      </c>
      <c r="O55" s="53">
        <f t="shared" si="3"/>
        <v>99.1149792</v>
      </c>
      <c r="P55" s="53">
        <f t="shared" ref="P55:W55" si="4">SUM(P50:P54)</f>
        <v>0.8695306471</v>
      </c>
      <c r="Q55" s="78">
        <f t="shared" si="4"/>
        <v>160615</v>
      </c>
      <c r="R55" s="78">
        <f t="shared" si="4"/>
        <v>3592100</v>
      </c>
      <c r="S55" s="92">
        <f t="shared" si="4"/>
        <v>399272</v>
      </c>
      <c r="T55" s="92">
        <f t="shared" si="4"/>
        <v>10044792</v>
      </c>
      <c r="U55" s="78">
        <f t="shared" si="4"/>
        <v>43585318</v>
      </c>
      <c r="V55" s="78">
        <f t="shared" si="4"/>
        <v>280</v>
      </c>
      <c r="W55" s="78">
        <f t="shared" si="4"/>
        <v>38526000</v>
      </c>
      <c r="X55" s="5"/>
      <c r="Y55" s="6"/>
      <c r="Z55" s="6"/>
      <c r="AA55" s="6"/>
      <c r="AB55" s="6"/>
      <c r="AC55" s="6"/>
      <c r="AD55" s="6"/>
    </row>
    <row r="56" ht="30.0" hidden="1" customHeight="1">
      <c r="A56" s="96" t="s">
        <v>116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5"/>
      <c r="W56" s="5"/>
      <c r="X56" s="5"/>
      <c r="Y56" s="6"/>
      <c r="Z56" s="6"/>
      <c r="AA56" s="6"/>
      <c r="AB56" s="6"/>
      <c r="AC56" s="6"/>
      <c r="AD56" s="6"/>
    </row>
    <row r="57" ht="15.75" customHeight="1">
      <c r="A57" s="5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6"/>
      <c r="T57" s="6"/>
      <c r="U57" s="99"/>
      <c r="V57" s="5"/>
      <c r="W57" s="5"/>
      <c r="X57" s="5"/>
      <c r="Y57" s="6"/>
      <c r="Z57" s="6"/>
      <c r="AA57" s="6"/>
      <c r="AB57" s="6"/>
      <c r="AC57" s="6"/>
      <c r="AD57" s="6"/>
    </row>
    <row r="58" ht="26.25" customHeight="1">
      <c r="A58" s="5"/>
      <c r="B58" s="24" t="s">
        <v>117</v>
      </c>
      <c r="C58" s="24" t="s">
        <v>42</v>
      </c>
      <c r="D58" s="103" t="s">
        <v>118</v>
      </c>
      <c r="E58" s="104" t="s">
        <v>120</v>
      </c>
      <c r="G58" s="99"/>
      <c r="H58" s="24" t="s">
        <v>117</v>
      </c>
      <c r="I58" s="24" t="s">
        <v>121</v>
      </c>
      <c r="J58" s="24" t="s">
        <v>122</v>
      </c>
      <c r="K58" s="24" t="s">
        <v>34</v>
      </c>
      <c r="L58" s="24" t="s">
        <v>124</v>
      </c>
      <c r="M58" s="24" t="s">
        <v>125</v>
      </c>
      <c r="N58" s="24" t="s">
        <v>126</v>
      </c>
      <c r="O58" s="24" t="s">
        <v>127</v>
      </c>
      <c r="P58" s="24" t="s">
        <v>129</v>
      </c>
      <c r="Q58" s="24" t="s">
        <v>35</v>
      </c>
      <c r="R58" s="114" t="s">
        <v>130</v>
      </c>
      <c r="S58" s="27" t="s">
        <v>131</v>
      </c>
      <c r="T58" s="15"/>
      <c r="U58" s="24" t="s">
        <v>35</v>
      </c>
      <c r="V58" s="24" t="s">
        <v>132</v>
      </c>
      <c r="W58" s="6"/>
      <c r="X58" s="5"/>
      <c r="Y58" s="6"/>
      <c r="Z58" s="6"/>
      <c r="AA58" s="6"/>
      <c r="AB58" s="6"/>
      <c r="AC58" s="6"/>
      <c r="AD58" s="6"/>
    </row>
    <row r="59" ht="37.5" customHeight="1">
      <c r="A59" s="6"/>
      <c r="B59" s="25"/>
      <c r="C59" s="25"/>
      <c r="D59" s="86"/>
      <c r="E59" s="25"/>
      <c r="G59" s="10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36" t="s">
        <v>133</v>
      </c>
      <c r="T59" s="36" t="s">
        <v>134</v>
      </c>
      <c r="U59" s="25"/>
      <c r="V59" s="25"/>
      <c r="W59" s="6"/>
      <c r="X59" s="6"/>
      <c r="Y59" s="6"/>
      <c r="Z59" s="6"/>
      <c r="AA59" s="6"/>
      <c r="AB59" s="6"/>
      <c r="AC59" s="6"/>
      <c r="AD59" s="6"/>
    </row>
    <row r="60" ht="27.75" customHeight="1">
      <c r="A60" s="123"/>
      <c r="B60" s="45" t="s">
        <v>56</v>
      </c>
      <c r="C60" s="124">
        <v>832.0</v>
      </c>
      <c r="D60" s="126">
        <v>649476.0</v>
      </c>
      <c r="E60" s="234"/>
      <c r="G60" s="10"/>
      <c r="H60" s="130" t="s">
        <v>56</v>
      </c>
      <c r="I60" s="131">
        <v>6411950.0</v>
      </c>
      <c r="J60" s="131">
        <v>6327753.0</v>
      </c>
      <c r="K60" s="78">
        <f t="shared" ref="K60:K64" si="5">O50</f>
        <v>98.69</v>
      </c>
      <c r="L60" s="78">
        <v>6.66</v>
      </c>
      <c r="M60" s="134">
        <v>0.0615</v>
      </c>
      <c r="N60" s="131">
        <v>150.0</v>
      </c>
      <c r="O60" s="78">
        <v>99.0</v>
      </c>
      <c r="P60" s="131">
        <v>92.0</v>
      </c>
      <c r="Q60" s="78">
        <f t="shared" ref="Q60:Q64" si="6">P60-O60</f>
        <v>-7</v>
      </c>
      <c r="R60" s="135">
        <v>350016.0</v>
      </c>
      <c r="S60" s="78">
        <v>15.0</v>
      </c>
      <c r="T60" s="131">
        <v>12.0</v>
      </c>
      <c r="U60" s="78">
        <f t="shared" ref="U60:U64" si="7">T60-S60</f>
        <v>-3</v>
      </c>
      <c r="V60" s="135">
        <v>0.0</v>
      </c>
      <c r="W60" s="6"/>
      <c r="X60" s="123"/>
      <c r="Y60" s="6"/>
      <c r="Z60" s="6"/>
      <c r="AA60" s="6"/>
      <c r="AB60" s="6"/>
      <c r="AC60" s="6"/>
      <c r="AD60" s="6"/>
    </row>
    <row r="61" ht="27.75" customHeight="1">
      <c r="A61" s="123"/>
      <c r="B61" s="61" t="s">
        <v>76</v>
      </c>
      <c r="C61" s="124">
        <v>851.0</v>
      </c>
      <c r="D61" s="126">
        <v>496253.0</v>
      </c>
      <c r="E61" s="235"/>
      <c r="G61" s="10"/>
      <c r="H61" s="137" t="s">
        <v>76</v>
      </c>
      <c r="I61" s="131">
        <v>5687784.0</v>
      </c>
      <c r="J61" s="131">
        <v>5667114.0</v>
      </c>
      <c r="K61" s="78">
        <f t="shared" si="5"/>
        <v>99.64</v>
      </c>
      <c r="L61" s="78">
        <v>6.33</v>
      </c>
      <c r="M61" s="134">
        <v>0.0601</v>
      </c>
      <c r="N61" s="131">
        <v>0.0</v>
      </c>
      <c r="O61" s="78">
        <v>145.0</v>
      </c>
      <c r="P61" s="131">
        <v>141.0</v>
      </c>
      <c r="Q61" s="78">
        <f t="shared" si="6"/>
        <v>-4</v>
      </c>
      <c r="R61" s="135">
        <v>128618.0</v>
      </c>
      <c r="S61" s="78">
        <v>3.0</v>
      </c>
      <c r="T61" s="131">
        <v>3.0</v>
      </c>
      <c r="U61" s="78">
        <f t="shared" si="7"/>
        <v>0</v>
      </c>
      <c r="V61" s="135">
        <v>0.0</v>
      </c>
      <c r="W61" s="6"/>
      <c r="X61" s="123"/>
      <c r="Y61" s="6"/>
      <c r="Z61" s="6"/>
      <c r="AA61" s="6"/>
      <c r="AB61" s="6"/>
      <c r="AC61" s="6"/>
      <c r="AD61" s="6"/>
    </row>
    <row r="62" ht="27.75" customHeight="1">
      <c r="A62" s="123"/>
      <c r="B62" s="61" t="s">
        <v>83</v>
      </c>
      <c r="C62" s="124">
        <v>767.0</v>
      </c>
      <c r="D62" s="126">
        <v>614713.0</v>
      </c>
      <c r="E62" s="234"/>
      <c r="G62" s="10"/>
      <c r="H62" s="137" t="s">
        <v>83</v>
      </c>
      <c r="I62" s="131">
        <v>5963431.0</v>
      </c>
      <c r="J62" s="131">
        <v>5907357.0</v>
      </c>
      <c r="K62" s="53">
        <f t="shared" si="5"/>
        <v>99.05970238</v>
      </c>
      <c r="L62" s="78">
        <v>6.34</v>
      </c>
      <c r="M62" s="134">
        <v>0.0612</v>
      </c>
      <c r="N62" s="131">
        <v>251.0</v>
      </c>
      <c r="O62" s="78">
        <v>71.0</v>
      </c>
      <c r="P62" s="131">
        <v>72.0</v>
      </c>
      <c r="Q62" s="78">
        <f t="shared" si="6"/>
        <v>1</v>
      </c>
      <c r="R62" s="135">
        <v>228292.0</v>
      </c>
      <c r="S62" s="78">
        <v>8.0</v>
      </c>
      <c r="T62" s="131">
        <v>9.0</v>
      </c>
      <c r="U62" s="78">
        <f t="shared" si="7"/>
        <v>1</v>
      </c>
      <c r="V62" s="135">
        <v>1.0</v>
      </c>
      <c r="W62" s="6"/>
      <c r="X62" s="123"/>
      <c r="Y62" s="6"/>
      <c r="Z62" s="6"/>
      <c r="AA62" s="6"/>
      <c r="AB62" s="6"/>
      <c r="AC62" s="6"/>
      <c r="AD62" s="6"/>
    </row>
    <row r="63" ht="29.25" customHeight="1">
      <c r="A63" s="123"/>
      <c r="B63" s="61" t="s">
        <v>87</v>
      </c>
      <c r="C63" s="124">
        <v>897.0</v>
      </c>
      <c r="D63" s="126">
        <v>730207.0</v>
      </c>
      <c r="E63" s="235"/>
      <c r="G63" s="10"/>
      <c r="H63" s="137" t="s">
        <v>87</v>
      </c>
      <c r="I63" s="131">
        <v>7546472.0</v>
      </c>
      <c r="J63" s="131">
        <v>7474024.0</v>
      </c>
      <c r="K63" s="78">
        <f t="shared" si="5"/>
        <v>99.04</v>
      </c>
      <c r="L63" s="78">
        <v>4.78</v>
      </c>
      <c r="M63" s="134">
        <v>0.0455</v>
      </c>
      <c r="N63" s="131">
        <v>3305.0</v>
      </c>
      <c r="O63" s="78">
        <v>98.0</v>
      </c>
      <c r="P63" s="131">
        <v>95.0</v>
      </c>
      <c r="Q63" s="78">
        <f t="shared" si="6"/>
        <v>-3</v>
      </c>
      <c r="R63" s="135">
        <v>270652.0</v>
      </c>
      <c r="S63" s="78">
        <v>13.0</v>
      </c>
      <c r="T63" s="131">
        <v>12.0</v>
      </c>
      <c r="U63" s="78">
        <f t="shared" si="7"/>
        <v>-1</v>
      </c>
      <c r="V63" s="131">
        <v>2.0</v>
      </c>
      <c r="W63" s="6"/>
      <c r="X63" s="123"/>
      <c r="Y63" s="6"/>
      <c r="Z63" s="6"/>
      <c r="AA63" s="6"/>
      <c r="AB63" s="6"/>
      <c r="AC63" s="6"/>
      <c r="AD63" s="6"/>
    </row>
    <row r="64" ht="27.75" customHeight="1">
      <c r="A64" s="123"/>
      <c r="B64" s="61" t="s">
        <v>91</v>
      </c>
      <c r="C64" s="124">
        <v>891.0</v>
      </c>
      <c r="D64" s="126">
        <v>551285.0</v>
      </c>
      <c r="E64" s="234">
        <v>430.0</v>
      </c>
      <c r="G64" s="10"/>
      <c r="H64" s="137" t="s">
        <v>91</v>
      </c>
      <c r="I64" s="131">
        <v>5541138.0</v>
      </c>
      <c r="J64" s="131">
        <v>5493772.0</v>
      </c>
      <c r="K64" s="53">
        <f t="shared" si="5"/>
        <v>99.14519364</v>
      </c>
      <c r="L64" s="78">
        <v>6.23</v>
      </c>
      <c r="M64" s="134">
        <v>0.0582</v>
      </c>
      <c r="N64" s="131">
        <v>750.0</v>
      </c>
      <c r="O64" s="78">
        <v>120.0</v>
      </c>
      <c r="P64" s="131">
        <v>120.0</v>
      </c>
      <c r="Q64" s="78">
        <f t="shared" si="6"/>
        <v>0</v>
      </c>
      <c r="R64" s="135">
        <v>131412.0</v>
      </c>
      <c r="S64" s="78">
        <v>8.0</v>
      </c>
      <c r="T64" s="131">
        <v>8.0</v>
      </c>
      <c r="U64" s="78">
        <f t="shared" si="7"/>
        <v>0</v>
      </c>
      <c r="V64" s="131">
        <v>2.0</v>
      </c>
      <c r="W64" s="6"/>
      <c r="X64" s="123"/>
      <c r="Y64" s="6"/>
      <c r="Z64" s="6"/>
      <c r="AA64" s="6"/>
      <c r="AB64" s="6"/>
      <c r="AC64" s="6"/>
      <c r="AD64" s="6"/>
    </row>
    <row r="65" ht="31.5" customHeight="1">
      <c r="A65" s="237"/>
      <c r="B65" s="61" t="s">
        <v>98</v>
      </c>
      <c r="C65" s="78">
        <f t="shared" ref="C65:E65" si="8">SUM(C60:C64)</f>
        <v>4238</v>
      </c>
      <c r="D65" s="143">
        <f t="shared" si="8"/>
        <v>3041934</v>
      </c>
      <c r="E65" s="78">
        <f t="shared" si="8"/>
        <v>430</v>
      </c>
      <c r="G65" s="238"/>
      <c r="H65" s="137" t="s">
        <v>98</v>
      </c>
      <c r="I65" s="78">
        <f t="shared" ref="I65:J65" si="9">SUM(I60:I64)</f>
        <v>31150775</v>
      </c>
      <c r="J65" s="78">
        <f t="shared" si="9"/>
        <v>30870020</v>
      </c>
      <c r="K65" s="53">
        <f t="shared" ref="K65:M65" si="10">AVERAGE(K60:K64)</f>
        <v>99.1149792</v>
      </c>
      <c r="L65" s="53">
        <f t="shared" si="10"/>
        <v>6.068</v>
      </c>
      <c r="M65" s="132">
        <f t="shared" si="10"/>
        <v>0.0573</v>
      </c>
      <c r="N65" s="78">
        <f t="shared" ref="N65:V65" si="11">SUM(N60:N64)</f>
        <v>4456</v>
      </c>
      <c r="O65" s="78">
        <f t="shared" si="11"/>
        <v>533</v>
      </c>
      <c r="P65" s="78">
        <f t="shared" si="11"/>
        <v>520</v>
      </c>
      <c r="Q65" s="78">
        <f t="shared" si="11"/>
        <v>-13</v>
      </c>
      <c r="R65" s="78">
        <f t="shared" si="11"/>
        <v>1108990</v>
      </c>
      <c r="S65" s="78">
        <f t="shared" si="11"/>
        <v>47</v>
      </c>
      <c r="T65" s="78">
        <f t="shared" si="11"/>
        <v>44</v>
      </c>
      <c r="U65" s="78">
        <f t="shared" si="11"/>
        <v>-3</v>
      </c>
      <c r="V65" s="78">
        <f t="shared" si="11"/>
        <v>5</v>
      </c>
      <c r="W65" s="6"/>
      <c r="X65" s="123"/>
      <c r="Y65" s="6"/>
      <c r="Z65" s="6"/>
      <c r="AA65" s="6"/>
      <c r="AB65" s="6"/>
      <c r="AC65" s="6"/>
      <c r="AD65" s="6"/>
    </row>
    <row r="66" ht="28.5" hidden="1" customHeight="1">
      <c r="A66" s="96" t="s">
        <v>116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5"/>
      <c r="W66" s="6"/>
      <c r="X66" s="6"/>
      <c r="Y66" s="6"/>
      <c r="Z66" s="6"/>
      <c r="AA66" s="6"/>
      <c r="AB66" s="6"/>
      <c r="AC66" s="6"/>
      <c r="AD66" s="6"/>
    </row>
    <row r="67" ht="27.0" customHeight="1">
      <c r="A67" s="123"/>
      <c r="B67" s="148"/>
      <c r="C67" s="148"/>
      <c r="D67" s="148"/>
      <c r="E67" s="148"/>
      <c r="F67" s="148"/>
      <c r="G67" s="148"/>
      <c r="H67" s="149" t="s">
        <v>43</v>
      </c>
      <c r="J67" s="149" t="s">
        <v>166</v>
      </c>
      <c r="L67" s="10"/>
      <c r="M67" s="10"/>
      <c r="N67" s="10"/>
      <c r="O67" s="150"/>
      <c r="P67" s="6"/>
      <c r="Q67" s="6"/>
      <c r="R67" s="6"/>
      <c r="S67" s="6"/>
      <c r="T67" s="6"/>
      <c r="U67" s="6"/>
      <c r="V67" s="6"/>
      <c r="W67" s="123"/>
      <c r="X67" s="6"/>
      <c r="Y67" s="6"/>
      <c r="Z67" s="6"/>
      <c r="AA67" s="6"/>
      <c r="AB67" s="6"/>
      <c r="AC67" s="6"/>
      <c r="AD67" s="6"/>
    </row>
    <row r="68" ht="28.5" customHeight="1">
      <c r="A68" s="6"/>
      <c r="B68" s="151" t="s">
        <v>117</v>
      </c>
      <c r="C68" s="151" t="s">
        <v>42</v>
      </c>
      <c r="D68" s="153" t="s">
        <v>136</v>
      </c>
      <c r="E68" s="154"/>
      <c r="F68" s="148"/>
      <c r="G68" s="148"/>
      <c r="H68" s="155" t="s">
        <v>137</v>
      </c>
      <c r="I68" s="14"/>
      <c r="J68" s="14"/>
      <c r="K68" s="15"/>
      <c r="L68" s="156" t="s">
        <v>138</v>
      </c>
      <c r="M68" s="15"/>
      <c r="N68" s="156" t="s">
        <v>139</v>
      </c>
      <c r="O68" s="15"/>
      <c r="P68" s="148"/>
      <c r="Q68" s="27" t="s">
        <v>167</v>
      </c>
      <c r="R68" s="14"/>
      <c r="S68" s="14"/>
      <c r="T68" s="15"/>
      <c r="U68" s="27" t="s">
        <v>142</v>
      </c>
      <c r="V68" s="15"/>
      <c r="W68" s="123"/>
      <c r="X68" s="6"/>
      <c r="Y68" s="6"/>
      <c r="Z68" s="6"/>
      <c r="AA68" s="6"/>
      <c r="AB68" s="6"/>
      <c r="AC68" s="6"/>
      <c r="AD68" s="6"/>
    </row>
    <row r="69">
      <c r="A69" s="6"/>
      <c r="B69" s="25"/>
      <c r="C69" s="25"/>
      <c r="D69" s="25"/>
      <c r="E69" s="154"/>
      <c r="F69" s="99"/>
      <c r="G69" s="123"/>
      <c r="H69" s="158" t="s">
        <v>117</v>
      </c>
      <c r="I69" s="158" t="s">
        <v>133</v>
      </c>
      <c r="J69" s="158" t="s">
        <v>43</v>
      </c>
      <c r="K69" s="158" t="s">
        <v>35</v>
      </c>
      <c r="L69" s="158" t="s">
        <v>42</v>
      </c>
      <c r="M69" s="158" t="s">
        <v>44</v>
      </c>
      <c r="N69" s="36" t="s">
        <v>143</v>
      </c>
      <c r="O69" s="158" t="s">
        <v>144</v>
      </c>
      <c r="P69" s="239"/>
      <c r="Q69" s="158" t="s">
        <v>117</v>
      </c>
      <c r="R69" s="36" t="s">
        <v>42</v>
      </c>
      <c r="S69" s="36" t="s">
        <v>44</v>
      </c>
      <c r="T69" s="36" t="s">
        <v>141</v>
      </c>
      <c r="U69" s="36" t="s">
        <v>18</v>
      </c>
      <c r="V69" s="36" t="s">
        <v>145</v>
      </c>
      <c r="W69" s="123"/>
      <c r="X69" s="6"/>
      <c r="Y69" s="6"/>
      <c r="Z69" s="6"/>
      <c r="AA69" s="6"/>
      <c r="AB69" s="6"/>
      <c r="AC69" s="6"/>
      <c r="AD69" s="6"/>
    </row>
    <row r="70" ht="30.0" customHeight="1">
      <c r="A70" s="6"/>
      <c r="B70" s="45" t="s">
        <v>56</v>
      </c>
      <c r="C70" s="131">
        <v>57.0</v>
      </c>
      <c r="D70" s="131">
        <v>51007.0</v>
      </c>
      <c r="E70" s="159"/>
      <c r="F70" s="240"/>
      <c r="G70" s="123"/>
      <c r="H70" s="45" t="s">
        <v>56</v>
      </c>
      <c r="I70" s="78">
        <v>2642872.0</v>
      </c>
      <c r="J70" s="131">
        <v>2685411.0</v>
      </c>
      <c r="K70" s="78">
        <f t="shared" ref="K70:K74" si="12">J70-I70</f>
        <v>42539</v>
      </c>
      <c r="L70" s="160">
        <v>1.0</v>
      </c>
      <c r="M70" s="135">
        <v>25530.0</v>
      </c>
      <c r="N70" s="160">
        <v>6437300.0</v>
      </c>
      <c r="O70" s="131">
        <v>1101877.0</v>
      </c>
      <c r="P70" s="239"/>
      <c r="Q70" s="45" t="s">
        <v>56</v>
      </c>
      <c r="R70" s="131">
        <v>28.0</v>
      </c>
      <c r="S70" s="135">
        <v>14800.0</v>
      </c>
      <c r="T70" s="135"/>
      <c r="U70" s="135">
        <v>1102471.0</v>
      </c>
      <c r="V70" s="135">
        <v>906892.0</v>
      </c>
      <c r="W70" s="6"/>
      <c r="X70" s="6"/>
      <c r="Y70" s="6"/>
      <c r="Z70" s="6"/>
      <c r="AA70" s="6"/>
      <c r="AB70" s="6"/>
      <c r="AC70" s="6"/>
      <c r="AD70" s="6"/>
    </row>
    <row r="71" ht="24.75" customHeight="1">
      <c r="A71" s="6"/>
      <c r="B71" s="61" t="s">
        <v>76</v>
      </c>
      <c r="C71" s="131">
        <v>82.0</v>
      </c>
      <c r="D71" s="131">
        <v>35747.0</v>
      </c>
      <c r="E71" s="159"/>
      <c r="F71" s="240"/>
      <c r="G71" s="123"/>
      <c r="H71" s="61" t="s">
        <v>76</v>
      </c>
      <c r="I71" s="78">
        <v>2882407.0</v>
      </c>
      <c r="J71" s="131">
        <v>2867330.0</v>
      </c>
      <c r="K71" s="78">
        <f t="shared" si="12"/>
        <v>-15077</v>
      </c>
      <c r="L71" s="131">
        <v>0.0</v>
      </c>
      <c r="M71" s="135">
        <v>0.0</v>
      </c>
      <c r="N71" s="131">
        <v>5781284.0</v>
      </c>
      <c r="O71" s="131">
        <v>838051.0</v>
      </c>
      <c r="P71" s="239"/>
      <c r="Q71" s="61" t="s">
        <v>76</v>
      </c>
      <c r="R71" s="131">
        <v>19.0</v>
      </c>
      <c r="S71" s="135">
        <v>11500.0</v>
      </c>
      <c r="T71" s="135">
        <v>0.0</v>
      </c>
      <c r="U71" s="135">
        <v>1134387.0</v>
      </c>
      <c r="V71" s="135">
        <v>824001.0</v>
      </c>
      <c r="W71" s="6"/>
      <c r="X71" s="6"/>
      <c r="Y71" s="6"/>
      <c r="Z71" s="6"/>
      <c r="AA71" s="6"/>
      <c r="AB71" s="6"/>
      <c r="AC71" s="6"/>
      <c r="AD71" s="6"/>
    </row>
    <row r="72" ht="25.5" customHeight="1">
      <c r="A72" s="6"/>
      <c r="B72" s="61" t="s">
        <v>83</v>
      </c>
      <c r="C72" s="131">
        <v>39.0</v>
      </c>
      <c r="D72" s="131">
        <v>36368.0</v>
      </c>
      <c r="E72" s="159"/>
      <c r="F72" s="240"/>
      <c r="G72" s="123"/>
      <c r="H72" s="61" t="s">
        <v>83</v>
      </c>
      <c r="I72" s="78">
        <v>2564338.0</v>
      </c>
      <c r="J72" s="131">
        <v>2588821.0</v>
      </c>
      <c r="K72" s="78">
        <f t="shared" si="12"/>
        <v>24483</v>
      </c>
      <c r="L72" s="131">
        <v>1.0</v>
      </c>
      <c r="M72" s="131">
        <v>66664.0</v>
      </c>
      <c r="N72" s="131">
        <v>5966361.0</v>
      </c>
      <c r="O72" s="131">
        <v>870005.0</v>
      </c>
      <c r="P72" s="239"/>
      <c r="Q72" s="61" t="s">
        <v>83</v>
      </c>
      <c r="R72" s="131">
        <v>27.0</v>
      </c>
      <c r="S72" s="135">
        <v>27000.0</v>
      </c>
      <c r="T72" s="135">
        <v>0.0</v>
      </c>
      <c r="U72" s="135">
        <v>1434071.0</v>
      </c>
      <c r="V72" s="135">
        <v>814431.0</v>
      </c>
      <c r="W72" s="6"/>
      <c r="X72" s="6"/>
      <c r="Y72" s="6"/>
      <c r="Z72" s="6"/>
      <c r="AA72" s="6"/>
      <c r="AB72" s="6"/>
      <c r="AC72" s="6"/>
      <c r="AD72" s="6"/>
    </row>
    <row r="73" ht="22.5" customHeight="1">
      <c r="A73" s="6"/>
      <c r="B73" s="61" t="s">
        <v>87</v>
      </c>
      <c r="C73" s="131">
        <v>30.0</v>
      </c>
      <c r="D73" s="131">
        <v>72868.0</v>
      </c>
      <c r="E73" s="159"/>
      <c r="F73" s="240"/>
      <c r="G73" s="10"/>
      <c r="H73" s="61" t="s">
        <v>87</v>
      </c>
      <c r="I73" s="78">
        <v>2537009.0</v>
      </c>
      <c r="J73" s="131">
        <v>2536589.0</v>
      </c>
      <c r="K73" s="78">
        <f t="shared" si="12"/>
        <v>-420</v>
      </c>
      <c r="L73" s="131">
        <v>1.0</v>
      </c>
      <c r="M73" s="131">
        <v>1854.0</v>
      </c>
      <c r="N73" s="131">
        <v>7620013.0</v>
      </c>
      <c r="O73" s="131">
        <v>1158624.0</v>
      </c>
      <c r="P73" s="239"/>
      <c r="Q73" s="61" t="s">
        <v>87</v>
      </c>
      <c r="R73" s="131">
        <v>22.0</v>
      </c>
      <c r="S73" s="135">
        <v>30500.0</v>
      </c>
      <c r="T73" s="135" t="s">
        <v>168</v>
      </c>
      <c r="U73" s="135">
        <v>1492868.0</v>
      </c>
      <c r="V73" s="135">
        <v>1370570.0</v>
      </c>
      <c r="W73" s="6"/>
      <c r="X73" s="6"/>
      <c r="Y73" s="6"/>
      <c r="Z73" s="6"/>
      <c r="AA73" s="6"/>
      <c r="AB73" s="6"/>
      <c r="AC73" s="6"/>
      <c r="AD73" s="6"/>
    </row>
    <row r="74" ht="24.75" customHeight="1">
      <c r="A74" s="6"/>
      <c r="B74" s="61" t="s">
        <v>91</v>
      </c>
      <c r="C74" s="131">
        <v>93.0</v>
      </c>
      <c r="D74" s="131">
        <v>88028.0</v>
      </c>
      <c r="E74" s="159"/>
      <c r="F74" s="240"/>
      <c r="G74" s="10"/>
      <c r="H74" s="61" t="s">
        <v>91</v>
      </c>
      <c r="I74" s="78">
        <v>2521855.0</v>
      </c>
      <c r="J74" s="131">
        <f>M54</f>
        <v>2481193</v>
      </c>
      <c r="K74" s="78">
        <f t="shared" si="12"/>
        <v>-40662</v>
      </c>
      <c r="L74" s="131">
        <v>0.0</v>
      </c>
      <c r="M74" s="131">
        <v>0.0</v>
      </c>
      <c r="N74" s="131">
        <v>5712004.0</v>
      </c>
      <c r="O74" s="131">
        <v>889169.0</v>
      </c>
      <c r="P74" s="239"/>
      <c r="Q74" s="61" t="s">
        <v>91</v>
      </c>
      <c r="R74" s="131">
        <v>15.0</v>
      </c>
      <c r="S74" s="135">
        <v>9000.0</v>
      </c>
      <c r="T74" s="135">
        <v>0.0</v>
      </c>
      <c r="U74" s="135">
        <v>893537.0</v>
      </c>
      <c r="V74" s="135">
        <v>460857.0</v>
      </c>
      <c r="W74" s="6"/>
      <c r="X74" s="6"/>
      <c r="Y74" s="6"/>
      <c r="Z74" s="6"/>
      <c r="AA74" s="6"/>
      <c r="AB74" s="6"/>
      <c r="AC74" s="6"/>
      <c r="AD74" s="6"/>
    </row>
    <row r="75" ht="30.0" customHeight="1">
      <c r="A75" s="6"/>
      <c r="B75" s="61" t="s">
        <v>98</v>
      </c>
      <c r="C75" s="78">
        <f t="shared" ref="C75:D75" si="13">SUM(C70:C74)</f>
        <v>301</v>
      </c>
      <c r="D75" s="78">
        <f t="shared" si="13"/>
        <v>284018</v>
      </c>
      <c r="E75" s="159"/>
      <c r="F75" s="240"/>
      <c r="G75" s="123"/>
      <c r="H75" s="61" t="s">
        <v>98</v>
      </c>
      <c r="I75" s="161">
        <f t="shared" ref="I75:O75" si="14">SUM(I70:I74)</f>
        <v>13148481</v>
      </c>
      <c r="J75" s="161">
        <f t="shared" si="14"/>
        <v>13159344</v>
      </c>
      <c r="K75" s="161">
        <f t="shared" si="14"/>
        <v>10863</v>
      </c>
      <c r="L75" s="161">
        <f t="shared" si="14"/>
        <v>3</v>
      </c>
      <c r="M75" s="161">
        <f t="shared" si="14"/>
        <v>94048</v>
      </c>
      <c r="N75" s="161">
        <f t="shared" si="14"/>
        <v>31516962</v>
      </c>
      <c r="O75" s="161">
        <f t="shared" si="14"/>
        <v>4857726</v>
      </c>
      <c r="P75" s="239"/>
      <c r="Q75" s="61" t="s">
        <v>98</v>
      </c>
      <c r="R75" s="78">
        <f t="shared" ref="R75:S75" si="15">SUM(R70:R74)</f>
        <v>111</v>
      </c>
      <c r="S75" s="78">
        <f t="shared" si="15"/>
        <v>92800</v>
      </c>
      <c r="T75" s="78" t="s">
        <v>168</v>
      </c>
      <c r="U75" s="78">
        <f t="shared" ref="U75:V75" si="16">SUM(U70:U74)</f>
        <v>6057334</v>
      </c>
      <c r="V75" s="78">
        <f t="shared" si="16"/>
        <v>4376751</v>
      </c>
      <c r="W75" s="6"/>
      <c r="X75" s="6"/>
      <c r="Y75" s="6"/>
      <c r="Z75" s="6"/>
      <c r="AA75" s="6"/>
      <c r="AB75" s="6"/>
      <c r="AC75" s="6"/>
      <c r="AD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4.25" hidden="1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4.25" hidden="1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4.25" hidden="1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4.25" hidden="1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4.25" hidden="1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4.25" hidden="1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4.25" hidden="1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4.25" hidden="1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4.25" hidden="1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4.25" hidden="1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4.25" hidden="1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4.25" hidden="1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4.25" hidden="1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4.25" hidden="1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4.25" hidden="1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4.25" hidden="1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4.25" hidden="1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4.25" hidden="1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4.25" hidden="1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4.25" hidden="1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4.25" hidden="1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4.25" hidden="1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4.25" hidden="1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4.25" hidden="1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4.25" hidden="1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4.25" hidden="1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4.25" hidden="1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4.25" hidden="1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4.25" hidden="1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4.25" hidden="1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4.25" hidden="1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4.25" hidden="1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4.25" hidden="1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4.25" hidden="1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4.25" hidden="1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4.25" hidden="1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4.25" hidden="1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4.25" hidden="1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4.25" hidden="1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4.25" hidden="1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4.25" hidden="1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4.25" hidden="1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4.25" hidden="1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4.25" hidden="1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4.25" hidden="1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4.25" hidden="1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4.25" hidden="1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4.25" hidden="1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4.25" hidden="1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4.25" hidden="1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4.25" hidden="1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4.25" hidden="1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4.25" hidden="1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4.25" hidden="1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4.25" hidden="1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4.25" hidden="1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4.25" hidden="1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4.25" hidden="1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4.25" hidden="1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4.25" hidden="1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4.25" hidden="1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4.25" hidden="1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4.25" hidden="1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4.25" hidden="1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4.25" hidden="1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4.25" hidden="1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4.25" hidden="1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4.25" hidden="1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4.25" hidden="1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4.25" hidden="1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4.25" hidden="1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4.25" hidden="1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4.25" hidden="1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4.25" hidden="1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4.25" hidden="1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4.25" hidden="1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4.25" hidden="1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4.25" hidden="1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4.25" hidden="1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4.25" hidden="1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4.25" hidden="1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4.25" hidden="1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4.25" hidden="1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4.25" hidden="1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4.25" hidden="1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4.25" hidden="1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4.25" hidden="1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4.25" hidden="1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4.25" hidden="1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4.25" hidden="1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4.25" hidden="1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4.25" hidden="1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4.25" hidden="1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4.25" hidden="1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4.25" hidden="1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4.25" hidden="1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4.25" hidden="1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4.25" hidden="1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4.25" hidden="1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4.25" hidden="1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4.25" hidden="1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4.25" hidden="1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4.25" hidden="1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4.25" hidden="1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4.25" hidden="1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4.25" hidden="1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4.25" hidden="1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4.25" hidden="1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4.25" hidden="1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4.25" hidden="1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4.25" hidden="1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4.25" hidden="1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4.25" hidden="1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4.25" hidden="1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4.25" hidden="1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4.25" hidden="1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4.25" hidden="1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4.25" hidden="1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4.25" hidden="1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4.25" hidden="1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4.25" hidden="1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4.25" hidden="1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4.25" hidden="1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4.25" hidden="1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4.25" hidden="1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4.25" hidden="1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4.25" hidden="1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4.25" hidden="1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4.25" hidden="1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4.25" hidden="1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4.25" hidden="1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4.25" hidden="1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4.25" hidden="1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4.25" hidden="1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4.25" hidden="1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4.25" hidden="1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4.25" hidden="1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4.25" hidden="1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4.25" hidden="1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4.25" hidden="1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4.25" hidden="1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4.25" hidden="1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4.25" hidden="1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4.25" hidden="1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4.25" hidden="1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4.25" hidden="1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4.25" hidden="1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4.25" hidden="1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4.25" hidden="1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4.25" hidden="1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4.25" hidden="1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4.25" hidden="1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4.25" hidden="1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4.25" hidden="1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4.25" hidden="1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4.25" hidden="1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4.25" hidden="1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4.25" hidden="1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4.25" hidden="1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4.25" hidden="1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4.25" hidden="1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4.25" hidden="1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4.25" hidden="1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4.25" hidden="1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4.25" hidden="1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4.25" hidden="1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4.25" hidden="1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4.25" hidden="1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4.25" hidden="1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4.25" hidden="1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4.25" hidden="1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4.25" hidden="1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4.25" hidden="1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4.25" hidden="1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4.25" hidden="1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4.25" hidden="1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4.25" hidden="1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4.25" hidden="1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4.25" hidden="1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4.25" hidden="1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4.25" hidden="1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4.25" hidden="1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4.25" hidden="1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4.25" hidden="1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4.25" hidden="1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4.25" hidden="1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4.25" hidden="1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4.25" hidden="1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4.25" hidden="1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4.25" hidden="1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4.25" hidden="1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4.25" hidden="1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4.25" hidden="1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4.25" hidden="1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4.25" hidden="1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4.25" hidden="1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4.25" hidden="1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4.25" hidden="1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4.25" hidden="1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4.25" hidden="1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4.25" hidden="1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4.25" hidden="1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4.25" hidden="1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4.25" hidden="1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4.25" hidden="1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4.25" hidden="1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4.25" hidden="1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4.25" hidden="1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4.25" hidden="1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4.25" hidden="1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4.25" hidden="1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4.25" hidden="1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4.25" hidden="1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4.25" hidden="1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4.25" hidden="1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4.25" hidden="1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4.25" hidden="1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4.25" hidden="1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4.25" hidden="1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4.25" hidden="1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4.25" hidden="1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4.25" hidden="1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4.25" hidden="1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4.25" hidden="1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4.25" hidden="1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4.25" hidden="1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4.25" hidden="1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4.25" hidden="1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4.25" hidden="1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4.25" hidden="1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4.25" hidden="1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4.25" hidden="1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4.25" hidden="1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4.25" hidden="1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4.25" hidden="1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4.25" hidden="1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4.25" hidden="1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4.25" hidden="1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4.25" hidden="1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4.25" hidden="1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4.25" hidden="1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4.25" hidden="1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4.25" hidden="1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4.25" hidden="1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4.25" hidden="1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4.25" hidden="1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4.25" hidden="1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4.25" hidden="1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4.25" hidden="1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4.25" hidden="1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4.25" hidden="1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4.25" hidden="1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4.25" hidden="1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4.25" hidden="1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4.25" hidden="1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4.25" hidden="1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4.25" hidden="1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4.25" hidden="1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4.25" hidden="1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4.25" hidden="1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4.25" hidden="1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4.25" hidden="1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4.25" hidden="1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4.25" hidden="1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4.25" hidden="1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4.25" hidden="1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4.25" hidden="1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4.25" hidden="1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4.25" hidden="1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4.25" hidden="1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4.25" hidden="1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4.25" hidden="1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4.25" hidden="1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4.25" hidden="1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4.25" hidden="1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4.25" hidden="1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4.25" hidden="1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4.25" hidden="1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4.25" hidden="1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4.25" hidden="1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4.25" hidden="1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4.25" hidden="1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4.25" hidden="1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4.25" hidden="1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4.25" hidden="1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4.25" hidden="1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4.25" hidden="1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4.25" hidden="1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4.25" hidden="1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4.25" hidden="1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4.25" hidden="1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4.25" hidden="1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4.25" hidden="1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4.25" hidden="1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4.25" hidden="1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4.25" hidden="1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4.25" hidden="1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4.25" hidden="1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4.25" hidden="1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4.25" hidden="1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4.25" hidden="1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4.25" hidden="1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4.25" hidden="1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4.25" hidden="1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4.25" hidden="1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4.25" hidden="1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4.25" hidden="1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4.25" hidden="1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4.25" hidden="1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4.25" hidden="1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4.25" hidden="1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4.25" hidden="1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4.25" hidden="1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4.25" hidden="1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4.25" hidden="1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4.25" hidden="1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4.25" hidden="1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4.25" hidden="1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4.25" hidden="1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4.25" hidden="1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4.25" hidden="1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4.25" hidden="1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4.25" hidden="1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4.25" hidden="1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4.25" hidden="1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4.25" hidden="1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4.25" hidden="1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4.25" hidden="1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4.25" hidden="1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4.25" hidden="1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4.25" hidden="1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4.25" hidden="1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4.25" hidden="1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4.25" hidden="1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4.25" hidden="1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4.25" hidden="1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4.25" hidden="1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4.25" hidden="1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4.25" hidden="1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4.25" hidden="1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4.25" hidden="1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4.25" hidden="1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4.25" hidden="1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4.25" hidden="1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4.25" hidden="1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4.25" hidden="1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4.25" hidden="1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4.25" hidden="1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4.25" hidden="1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4.25" hidden="1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4.25" hidden="1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4.25" hidden="1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4.25" hidden="1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4.25" hidden="1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4.25" hidden="1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4.25" hidden="1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4.25" hidden="1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4.25" hidden="1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4.25" hidden="1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4.25" hidden="1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4.25" hidden="1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4.25" hidden="1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4.25" hidden="1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4.25" hidden="1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4.25" hidden="1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4.25" hidden="1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4.25" hidden="1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4.25" hidden="1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4.25" hidden="1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4.25" hidden="1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4.25" hidden="1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4.25" hidden="1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4.25" hidden="1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4.25" hidden="1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4.25" hidden="1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4.25" hidden="1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4.25" hidden="1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4.25" hidden="1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4.25" hidden="1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4.25" hidden="1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4.25" hidden="1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4.25" hidden="1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4.25" hidden="1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4.25" hidden="1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4.25" hidden="1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4.25" hidden="1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4.25" hidden="1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4.25" hidden="1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4.25" hidden="1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4.25" hidden="1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4.25" hidden="1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4.25" hidden="1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4.25" hidden="1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4.25" hidden="1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4.25" hidden="1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4.25" hidden="1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4.25" hidden="1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4.25" hidden="1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4.25" hidden="1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4.25" hidden="1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4.25" hidden="1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4.25" hidden="1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4.25" hidden="1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4.25" hidden="1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4.25" hidden="1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4.25" hidden="1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4.25" hidden="1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4.25" hidden="1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4.25" hidden="1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4.25" hidden="1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4.25" hidden="1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4.25" hidden="1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4.25" hidden="1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4.25" hidden="1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4.25" hidden="1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4.25" hidden="1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4.25" hidden="1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4.25" hidden="1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4.25" hidden="1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4.25" hidden="1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4.25" hidden="1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4.25" hidden="1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4.25" hidden="1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4.25" hidden="1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4.25" hidden="1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4.25" hidden="1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4.25" hidden="1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4.25" hidden="1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4.25" hidden="1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4.25" hidden="1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4.25" hidden="1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4.25" hidden="1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4.25" hidden="1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4.25" hidden="1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4.25" hidden="1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4.25" hidden="1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4.25" hidden="1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4.25" hidden="1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4.25" hidden="1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4.25" hidden="1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4.25" hidden="1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4.25" hidden="1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4.25" hidden="1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4.25" hidden="1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4.25" hidden="1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4.25" hidden="1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4.25" hidden="1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4.25" hidden="1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4.25" hidden="1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4.25" hidden="1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4.25" hidden="1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4.25" hidden="1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4.25" hidden="1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4.25" hidden="1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4.25" hidden="1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4.25" hidden="1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4.25" hidden="1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4.25" hidden="1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4.25" hidden="1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4.25" hidden="1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4.25" hidden="1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4.25" hidden="1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4.25" hidden="1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4.25" hidden="1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4.25" hidden="1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4.25" hidden="1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4.25" hidden="1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4.25" hidden="1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4.25" hidden="1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4.25" hidden="1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4.25" hidden="1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4.25" hidden="1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4.25" hidden="1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4.25" hidden="1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4.25" hidden="1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4.25" hidden="1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4.25" hidden="1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4.25" hidden="1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4.25" hidden="1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4.25" hidden="1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4.25" hidden="1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4.25" hidden="1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4.25" hidden="1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4.25" hidden="1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4.25" hidden="1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4.25" hidden="1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4.25" hidden="1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4.25" hidden="1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4.25" hidden="1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4.25" hidden="1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4.25" hidden="1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4.25" hidden="1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4.25" hidden="1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4.25" hidden="1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4.25" hidden="1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4.25" hidden="1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4.25" hidden="1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4.25" hidden="1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4.25" hidden="1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4.25" hidden="1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4.25" hidden="1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4.25" hidden="1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4.25" hidden="1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4.25" hidden="1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4.25" hidden="1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4.25" hidden="1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4.25" hidden="1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4.25" hidden="1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4.25" hidden="1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4.25" hidden="1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4.25" hidden="1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4.25" hidden="1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4.25" hidden="1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4.25" hidden="1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4.25" hidden="1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4.25" hidden="1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4.25" hidden="1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4.25" hidden="1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4.25" hidden="1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4.25" hidden="1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4.25" hidden="1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4.25" hidden="1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4.25" hidden="1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4.25" hidden="1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4.25" hidden="1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4.25" hidden="1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4.25" hidden="1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4.25" hidden="1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4.25" hidden="1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4.25" hidden="1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4.25" hidden="1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4.25" hidden="1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4.25" hidden="1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4.25" hidden="1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4.25" hidden="1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4.25" hidden="1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4.25" hidden="1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4.25" hidden="1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4.25" hidden="1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4.25" hidden="1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4.25" hidden="1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4.25" hidden="1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4.25" hidden="1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4.25" hidden="1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4.25" hidden="1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4.25" hidden="1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4.25" hidden="1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4.25" hidden="1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4.25" hidden="1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4.25" hidden="1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4.25" hidden="1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4.25" hidden="1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4.25" hidden="1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4.25" hidden="1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4.25" hidden="1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4.25" hidden="1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4.25" hidden="1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4.25" hidden="1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4.25" hidden="1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4.25" hidden="1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4.25" hidden="1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4.25" hidden="1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4.25" hidden="1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4.25" hidden="1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4.25" hidden="1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4.25" hidden="1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4.25" hidden="1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4.25" hidden="1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4.25" hidden="1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4.25" hidden="1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4.25" hidden="1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4.25" hidden="1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4.25" hidden="1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4.25" hidden="1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4.25" hidden="1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4.25" hidden="1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4.25" hidden="1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4.25" hidden="1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4.25" hidden="1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4.25" hidden="1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4.25" hidden="1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4.25" hidden="1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4.25" hidden="1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4.25" hidden="1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4.25" hidden="1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4.25" hidden="1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4.25" hidden="1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4.25" hidden="1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4.25" hidden="1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4.25" hidden="1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4.25" hidden="1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4.25" hidden="1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4.25" hidden="1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4.25" hidden="1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4.25" hidden="1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4.25" hidden="1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4.25" hidden="1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4.25" hidden="1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4.25" hidden="1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4.25" hidden="1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4.25" hidden="1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4.25" hidden="1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4.25" hidden="1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4.25" hidden="1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4.25" hidden="1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4.25" hidden="1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4.25" hidden="1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4.25" hidden="1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4.25" hidden="1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4.25" hidden="1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4.25" hidden="1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4.25" hidden="1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4.25" hidden="1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4.25" hidden="1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4.25" hidden="1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4.25" hidden="1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4.25" hidden="1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4.25" hidden="1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4.25" hidden="1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4.25" hidden="1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4.25" hidden="1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4.25" hidden="1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4.25" hidden="1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4.25" hidden="1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4.25" hidden="1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4.25" hidden="1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4.25" hidden="1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4.25" hidden="1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4.25" hidden="1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4.25" hidden="1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4.25" hidden="1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4.25" hidden="1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4.25" hidden="1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4.25" hidden="1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4.25" hidden="1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4.25" hidden="1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4.25" hidden="1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4.25" hidden="1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4.25" hidden="1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4.25" hidden="1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4.25" hidden="1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4.25" hidden="1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4.25" hidden="1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4.25" hidden="1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4.25" hidden="1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4.25" hidden="1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4.25" hidden="1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4.25" hidden="1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4.25" hidden="1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4.25" hidden="1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4.25" hidden="1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4.25" hidden="1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4.25" hidden="1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4.25" hidden="1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4.25" hidden="1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4.25" hidden="1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4.25" hidden="1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4.25" hidden="1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4.25" hidden="1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4.25" hidden="1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4.25" hidden="1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4.25" hidden="1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4.25" hidden="1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4.25" hidden="1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4.25" hidden="1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4.25" hidden="1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4.25" hidden="1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4.25" hidden="1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4.25" hidden="1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4.25" hidden="1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4.25" hidden="1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4.25" hidden="1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4.25" hidden="1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4.25" hidden="1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4.25" hidden="1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4.25" hidden="1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4.25" hidden="1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4.25" hidden="1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4.25" hidden="1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4.25" hidden="1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4.25" hidden="1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4.25" hidden="1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4.25" hidden="1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4.25" hidden="1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4.25" hidden="1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4.25" hidden="1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4.25" hidden="1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4.25" hidden="1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4.25" hidden="1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4.25" hidden="1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4.25" hidden="1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4.25" hidden="1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4.25" hidden="1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4.25" hidden="1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4.25" hidden="1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4.25" hidden="1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4.25" hidden="1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4.25" hidden="1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4.25" hidden="1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4.25" hidden="1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4.25" hidden="1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4.25" hidden="1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4.25" hidden="1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4.25" hidden="1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4.25" hidden="1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4.25" hidden="1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4.25" hidden="1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4.25" hidden="1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4.25" hidden="1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4.25" hidden="1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4.25" hidden="1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4.25" hidden="1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4.25" hidden="1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4.25" hidden="1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4.25" hidden="1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4.25" hidden="1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4.25" hidden="1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4.25" hidden="1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4.25" hidden="1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4.25" hidden="1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4.25" hidden="1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4.25" hidden="1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4.25" hidden="1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4.25" hidden="1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4.25" hidden="1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4.25" hidden="1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4.25" hidden="1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4.25" hidden="1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4.25" hidden="1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4.25" hidden="1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4.25" hidden="1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4.25" hidden="1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4.25" hidden="1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4.25" hidden="1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4.25" hidden="1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4.25" hidden="1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4.25" hidden="1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4.25" hidden="1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4.25" hidden="1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4.25" hidden="1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4.25" hidden="1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4.25" hidden="1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4.25" hidden="1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4.25" hidden="1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4.25" hidden="1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4.25" hidden="1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4.25" hidden="1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4.25" hidden="1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4.25" hidden="1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4.25" hidden="1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4.25" hidden="1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4.25" hidden="1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4.25" hidden="1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4.25" hidden="1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4.25" hidden="1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4.25" hidden="1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4.25" hidden="1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4.25" hidden="1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4.25" hidden="1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4.25" hidden="1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4.25" hidden="1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4.25" hidden="1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4.25" hidden="1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4.25" hidden="1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4.25" hidden="1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4.25" hidden="1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4.25" hidden="1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4.25" hidden="1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4.25" hidden="1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4.25" hidden="1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4.25" hidden="1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4.25" hidden="1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4.25" hidden="1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4.25" hidden="1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4.25" hidden="1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4.25" hidden="1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4.25" hidden="1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4.25" hidden="1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4.25" hidden="1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4.25" hidden="1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4.25" hidden="1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4.25" hidden="1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4.25" hidden="1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4.25" hidden="1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4.25" hidden="1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4.25" hidden="1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4.25" hidden="1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4.25" hidden="1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4.25" hidden="1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4.25" hidden="1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4.25" hidden="1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4.25" hidden="1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4.25" hidden="1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4.25" hidden="1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4.25" hidden="1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4.25" hidden="1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4.25" hidden="1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4.25" hidden="1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4.25" hidden="1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4.25" hidden="1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4.25" hidden="1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4.25" hidden="1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4.25" hidden="1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4.25" hidden="1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4.25" hidden="1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4.25" hidden="1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4.25" hidden="1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4.25" hidden="1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4.25" hidden="1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4.25" hidden="1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4.25" hidden="1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4.25" hidden="1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4.25" hidden="1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4.25" hidden="1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4.25" hidden="1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4.25" hidden="1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4.25" hidden="1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4.25" hidden="1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4.25" hidden="1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4.25" hidden="1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4.25" hidden="1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4.25" hidden="1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4.25" hidden="1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4.25" hidden="1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4.25" hidden="1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4.25" hidden="1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4.25" hidden="1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4.25" hidden="1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4.25" hidden="1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4.25" hidden="1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4.25" hidden="1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4.25" hidden="1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4.25" hidden="1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4.25" hidden="1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4.25" hidden="1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4.25" hidden="1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4.25" hidden="1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4.25" hidden="1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4.25" hidden="1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4.25" hidden="1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4.25" hidden="1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4.25" hidden="1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4.25" hidden="1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4.25" hidden="1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4.25" hidden="1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4.25" hidden="1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4.25" hidden="1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4.25" hidden="1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4.25" hidden="1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4.25" hidden="1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4.25" hidden="1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4.25" hidden="1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4.25" hidden="1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4.25" hidden="1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4.25" hidden="1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4.25" hidden="1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4.25" hidden="1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4.25" hidden="1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4.25" hidden="1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4.25" hidden="1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4.25" hidden="1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4.25" hidden="1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4.25" hidden="1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4.25" hidden="1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4.25" hidden="1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4.25" hidden="1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4.25" hidden="1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4.25" hidden="1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4.25" hidden="1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4.25" hidden="1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4.25" hidden="1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4.25" hidden="1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4.25" hidden="1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4.25" hidden="1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4.25" hidden="1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4.25" hidden="1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4.25" hidden="1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4.25" hidden="1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4.25" hidden="1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4.25" hidden="1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4.25" hidden="1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4.25" hidden="1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4.25" hidden="1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4.25" hidden="1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4.25" hidden="1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4.25" hidden="1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4.25" hidden="1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4.25" hidden="1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4.25" hidden="1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4.25" hidden="1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4.25" hidden="1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4.25" hidden="1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4.25" hidden="1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4.25" hidden="1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4.25" hidden="1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4.25" hidden="1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4.25" hidden="1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4.25" hidden="1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4.25" hidden="1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4.25" hidden="1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4.25" hidden="1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4.25" hidden="1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4.25" hidden="1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4.25" hidden="1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</sheetData>
  <mergeCells count="99">
    <mergeCell ref="D5:E5"/>
    <mergeCell ref="F5:G5"/>
    <mergeCell ref="H5:I5"/>
    <mergeCell ref="J5:K5"/>
    <mergeCell ref="L5:M5"/>
    <mergeCell ref="N5:O5"/>
    <mergeCell ref="P5:P6"/>
    <mergeCell ref="Q5:Q6"/>
    <mergeCell ref="R5:R6"/>
    <mergeCell ref="S5:T5"/>
    <mergeCell ref="A1:X1"/>
    <mergeCell ref="A2:X2"/>
    <mergeCell ref="A3:X3"/>
    <mergeCell ref="A4:F4"/>
    <mergeCell ref="A5:A6"/>
    <mergeCell ref="B5:B6"/>
    <mergeCell ref="C5:C6"/>
    <mergeCell ref="D20:E20"/>
    <mergeCell ref="F20:G20"/>
    <mergeCell ref="H20:I20"/>
    <mergeCell ref="J20:K20"/>
    <mergeCell ref="L20:M20"/>
    <mergeCell ref="N20:O20"/>
    <mergeCell ref="P20:P21"/>
    <mergeCell ref="Q20:Q21"/>
    <mergeCell ref="R20:R21"/>
    <mergeCell ref="S20:T20"/>
    <mergeCell ref="A16:X16"/>
    <mergeCell ref="A17:X17"/>
    <mergeCell ref="A18:X18"/>
    <mergeCell ref="A19:F19"/>
    <mergeCell ref="A20:A21"/>
    <mergeCell ref="B20:B21"/>
    <mergeCell ref="C20:C21"/>
    <mergeCell ref="D35:E35"/>
    <mergeCell ref="F35:G35"/>
    <mergeCell ref="H35:I35"/>
    <mergeCell ref="J35:K35"/>
    <mergeCell ref="L35:M35"/>
    <mergeCell ref="N35:O35"/>
    <mergeCell ref="P35:P36"/>
    <mergeCell ref="Q35:Q36"/>
    <mergeCell ref="R35:R36"/>
    <mergeCell ref="S35:T35"/>
    <mergeCell ref="A31:X31"/>
    <mergeCell ref="A32:X32"/>
    <mergeCell ref="A33:X33"/>
    <mergeCell ref="A34:F34"/>
    <mergeCell ref="A35:A36"/>
    <mergeCell ref="B35:B36"/>
    <mergeCell ref="C35:C36"/>
    <mergeCell ref="D48:E48"/>
    <mergeCell ref="F48:G48"/>
    <mergeCell ref="H48:I48"/>
    <mergeCell ref="J48:K48"/>
    <mergeCell ref="L48:M48"/>
    <mergeCell ref="N48:O48"/>
    <mergeCell ref="R48:R49"/>
    <mergeCell ref="S48:U48"/>
    <mergeCell ref="S58:T58"/>
    <mergeCell ref="U58:U59"/>
    <mergeCell ref="C48:C49"/>
    <mergeCell ref="A56:V56"/>
    <mergeCell ref="B58:B59"/>
    <mergeCell ref="C58:C59"/>
    <mergeCell ref="D58:D59"/>
    <mergeCell ref="E58:E59"/>
    <mergeCell ref="H58:H59"/>
    <mergeCell ref="H68:K68"/>
    <mergeCell ref="L68:M68"/>
    <mergeCell ref="N68:O68"/>
    <mergeCell ref="Q68:T68"/>
    <mergeCell ref="V58:V59"/>
    <mergeCell ref="A66:V66"/>
    <mergeCell ref="H67:I67"/>
    <mergeCell ref="J67:K67"/>
    <mergeCell ref="B68:B69"/>
    <mergeCell ref="C68:C69"/>
    <mergeCell ref="D68:D69"/>
    <mergeCell ref="U68:V68"/>
    <mergeCell ref="P48:P49"/>
    <mergeCell ref="Q48:Q49"/>
    <mergeCell ref="A44:W45"/>
    <mergeCell ref="A46:W46"/>
    <mergeCell ref="A47:F47"/>
    <mergeCell ref="Z47:AA47"/>
    <mergeCell ref="A48:A49"/>
    <mergeCell ref="B48:B49"/>
    <mergeCell ref="V48:W48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</mergeCells>
  <printOptions horizontalCentered="1"/>
  <pageMargins bottom="0.24089995882051993" footer="0.0" header="0.0" left="0.0" right="0.0" top="0.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2.38"/>
    <col customWidth="1" min="3" max="15" width="9.13"/>
    <col customWidth="1" min="16" max="16" width="10.0"/>
  </cols>
  <sheetData>
    <row r="1">
      <c r="A1" s="215" t="s">
        <v>155</v>
      </c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</row>
    <row r="2" ht="25.5" customHeight="1">
      <c r="A2" s="217" t="s">
        <v>157</v>
      </c>
      <c r="B2" s="218" t="s">
        <v>158</v>
      </c>
      <c r="F2" s="219"/>
      <c r="G2" s="219"/>
      <c r="H2" s="219"/>
      <c r="I2" s="221" t="s">
        <v>159</v>
      </c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</row>
    <row r="3" ht="30.75" customHeight="1">
      <c r="A3" s="222" t="s">
        <v>160</v>
      </c>
      <c r="B3" s="223" t="s">
        <v>161</v>
      </c>
      <c r="C3" s="224">
        <v>46210.0</v>
      </c>
      <c r="D3" s="224">
        <v>46260.0</v>
      </c>
      <c r="E3" s="225">
        <v>46291.0</v>
      </c>
      <c r="F3" s="225">
        <v>46321.0</v>
      </c>
      <c r="G3" s="225">
        <v>46352.0</v>
      </c>
      <c r="H3" s="225">
        <v>46382.0</v>
      </c>
      <c r="I3" s="225">
        <v>46048.0</v>
      </c>
      <c r="J3" s="225">
        <v>46079.0</v>
      </c>
      <c r="K3" s="225">
        <v>46107.0</v>
      </c>
      <c r="L3" s="225">
        <v>46138.0</v>
      </c>
      <c r="M3" s="225">
        <v>46168.0</v>
      </c>
      <c r="N3" s="225">
        <v>46199.0</v>
      </c>
      <c r="O3" s="222" t="s">
        <v>96</v>
      </c>
      <c r="P3" s="226" t="s">
        <v>162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</row>
    <row r="4" ht="22.5" customHeight="1">
      <c r="A4" s="227" t="s">
        <v>58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>
        <f t="shared" ref="O4:O8" si="1">SUM(C4:L4)</f>
        <v>0</v>
      </c>
      <c r="P4" s="228">
        <f t="shared" ref="P4:P8" si="2">B4+O4</f>
        <v>0</v>
      </c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</row>
    <row r="5" ht="22.5" customHeight="1">
      <c r="A5" s="229" t="s">
        <v>82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28"/>
      <c r="N5" s="228"/>
      <c r="O5" s="228">
        <f t="shared" si="1"/>
        <v>0</v>
      </c>
      <c r="P5" s="228">
        <f t="shared" si="2"/>
        <v>0</v>
      </c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</row>
    <row r="6" ht="22.5" customHeight="1">
      <c r="A6" s="229" t="s">
        <v>66</v>
      </c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28"/>
      <c r="N6" s="228"/>
      <c r="O6" s="228">
        <f t="shared" si="1"/>
        <v>0</v>
      </c>
      <c r="P6" s="228">
        <f t="shared" si="2"/>
        <v>0</v>
      </c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  <c r="AB6" s="216"/>
      <c r="AC6" s="216"/>
    </row>
    <row r="7" ht="22.5" customHeight="1">
      <c r="A7" s="229" t="s">
        <v>163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28"/>
      <c r="N7" s="228"/>
      <c r="O7" s="228">
        <f t="shared" si="1"/>
        <v>0</v>
      </c>
      <c r="P7" s="228">
        <f t="shared" si="2"/>
        <v>0</v>
      </c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</row>
    <row r="8" ht="22.5" customHeight="1">
      <c r="A8" s="229" t="s">
        <v>164</v>
      </c>
      <c r="B8" s="230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2"/>
      <c r="N8" s="232"/>
      <c r="O8" s="232">
        <f t="shared" si="1"/>
        <v>0</v>
      </c>
      <c r="P8" s="232">
        <f t="shared" si="2"/>
        <v>0</v>
      </c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</row>
    <row r="9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</row>
    <row r="10">
      <c r="A10" s="215" t="s">
        <v>155</v>
      </c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</row>
    <row r="11">
      <c r="A11" s="217" t="s">
        <v>157</v>
      </c>
      <c r="B11" s="218" t="s">
        <v>151</v>
      </c>
      <c r="F11" s="219"/>
      <c r="G11" s="219"/>
      <c r="H11" s="219"/>
      <c r="I11" s="221" t="s">
        <v>159</v>
      </c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</row>
    <row r="12" ht="36.75" customHeight="1">
      <c r="A12" s="222" t="s">
        <v>160</v>
      </c>
      <c r="B12" s="223" t="s">
        <v>161</v>
      </c>
      <c r="C12" s="224">
        <v>46210.0</v>
      </c>
      <c r="D12" s="224">
        <v>46260.0</v>
      </c>
      <c r="E12" s="225">
        <v>46291.0</v>
      </c>
      <c r="F12" s="225">
        <v>46321.0</v>
      </c>
      <c r="G12" s="225">
        <v>46352.0</v>
      </c>
      <c r="H12" s="225">
        <v>46382.0</v>
      </c>
      <c r="I12" s="225">
        <v>46048.0</v>
      </c>
      <c r="J12" s="225">
        <v>46079.0</v>
      </c>
      <c r="K12" s="225">
        <v>46107.0</v>
      </c>
      <c r="L12" s="225">
        <v>46138.0</v>
      </c>
      <c r="M12" s="225">
        <v>46168.0</v>
      </c>
      <c r="N12" s="225">
        <v>46199.0</v>
      </c>
      <c r="O12" s="222" t="s">
        <v>96</v>
      </c>
      <c r="P12" s="226" t="s">
        <v>162</v>
      </c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</row>
    <row r="13" ht="22.5" customHeight="1">
      <c r="A13" s="227" t="s">
        <v>58</v>
      </c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>
        <f t="shared" ref="O13:O17" si="3">SUM(C13:L13)</f>
        <v>0</v>
      </c>
      <c r="P13" s="228">
        <f t="shared" ref="P13:P17" si="4">B13+O13</f>
        <v>0</v>
      </c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</row>
    <row r="14" ht="22.5" customHeight="1">
      <c r="A14" s="229" t="s">
        <v>82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28"/>
      <c r="N14" s="228"/>
      <c r="O14" s="228">
        <f t="shared" si="3"/>
        <v>0</v>
      </c>
      <c r="P14" s="228">
        <f t="shared" si="4"/>
        <v>0</v>
      </c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</row>
    <row r="15" ht="22.5" customHeight="1">
      <c r="A15" s="229" t="s">
        <v>66</v>
      </c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28"/>
      <c r="N15" s="228"/>
      <c r="O15" s="228">
        <f t="shared" si="3"/>
        <v>0</v>
      </c>
      <c r="P15" s="228">
        <f t="shared" si="4"/>
        <v>0</v>
      </c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</row>
    <row r="16" ht="22.5" customHeight="1">
      <c r="A16" s="229" t="s">
        <v>163</v>
      </c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28"/>
      <c r="N16" s="228"/>
      <c r="O16" s="228">
        <f t="shared" si="3"/>
        <v>0</v>
      </c>
      <c r="P16" s="228">
        <f t="shared" si="4"/>
        <v>0</v>
      </c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</row>
    <row r="17" ht="22.5" customHeight="1">
      <c r="A17" s="229" t="s">
        <v>164</v>
      </c>
      <c r="B17" s="230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2"/>
      <c r="N17" s="232"/>
      <c r="O17" s="232">
        <f t="shared" si="3"/>
        <v>0</v>
      </c>
      <c r="P17" s="232">
        <f t="shared" si="4"/>
        <v>0</v>
      </c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</row>
    <row r="18">
      <c r="A18" s="216"/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</row>
    <row r="19">
      <c r="A19" s="215" t="s">
        <v>155</v>
      </c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</row>
    <row r="20">
      <c r="A20" s="217" t="s">
        <v>157</v>
      </c>
      <c r="B20" s="218" t="s">
        <v>115</v>
      </c>
      <c r="F20" s="219"/>
      <c r="G20" s="219"/>
      <c r="H20" s="219"/>
      <c r="I20" s="221" t="s">
        <v>159</v>
      </c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</row>
    <row r="21" ht="29.25" customHeight="1">
      <c r="A21" s="222" t="s">
        <v>160</v>
      </c>
      <c r="B21" s="223" t="s">
        <v>161</v>
      </c>
      <c r="C21" s="224">
        <v>46210.0</v>
      </c>
      <c r="D21" s="224">
        <v>46260.0</v>
      </c>
      <c r="E21" s="225">
        <v>46291.0</v>
      </c>
      <c r="F21" s="225">
        <v>46321.0</v>
      </c>
      <c r="G21" s="225">
        <v>46352.0</v>
      </c>
      <c r="H21" s="225">
        <v>46382.0</v>
      </c>
      <c r="I21" s="225">
        <v>46048.0</v>
      </c>
      <c r="J21" s="225">
        <v>46079.0</v>
      </c>
      <c r="K21" s="225">
        <v>46107.0</v>
      </c>
      <c r="L21" s="225">
        <v>46138.0</v>
      </c>
      <c r="M21" s="225">
        <v>46168.0</v>
      </c>
      <c r="N21" s="225">
        <v>46199.0</v>
      </c>
      <c r="O21" s="222" t="s">
        <v>96</v>
      </c>
      <c r="P21" s="226" t="s">
        <v>162</v>
      </c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</row>
    <row r="22" ht="22.5" customHeight="1">
      <c r="A22" s="227" t="s">
        <v>58</v>
      </c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>
        <f t="shared" ref="O22:O26" si="5">SUM(C22:L22)</f>
        <v>0</v>
      </c>
      <c r="P22" s="228">
        <f t="shared" ref="P22:P26" si="6">B22+O22</f>
        <v>0</v>
      </c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</row>
    <row r="23" ht="22.5" customHeight="1">
      <c r="A23" s="229" t="s">
        <v>82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28"/>
      <c r="N23" s="228"/>
      <c r="O23" s="228">
        <f t="shared" si="5"/>
        <v>0</v>
      </c>
      <c r="P23" s="228">
        <f t="shared" si="6"/>
        <v>0</v>
      </c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</row>
    <row r="24" ht="22.5" customHeight="1">
      <c r="A24" s="229" t="s">
        <v>66</v>
      </c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28"/>
      <c r="N24" s="228"/>
      <c r="O24" s="228">
        <f t="shared" si="5"/>
        <v>0</v>
      </c>
      <c r="P24" s="228">
        <f t="shared" si="6"/>
        <v>0</v>
      </c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</row>
    <row r="25" ht="22.5" customHeight="1">
      <c r="A25" s="229" t="s">
        <v>163</v>
      </c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28"/>
      <c r="N25" s="228"/>
      <c r="O25" s="228">
        <f t="shared" si="5"/>
        <v>0</v>
      </c>
      <c r="P25" s="228">
        <f t="shared" si="6"/>
        <v>0</v>
      </c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</row>
    <row r="26" ht="22.5" customHeight="1">
      <c r="A26" s="229" t="s">
        <v>164</v>
      </c>
      <c r="B26" s="230"/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2"/>
      <c r="N26" s="232"/>
      <c r="O26" s="232">
        <f t="shared" si="5"/>
        <v>0</v>
      </c>
      <c r="P26" s="232">
        <f t="shared" si="6"/>
        <v>0</v>
      </c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</row>
    <row r="27" ht="15.75" customHeight="1">
      <c r="A27" s="216"/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</row>
    <row r="28" ht="15.75" customHeight="1">
      <c r="A28" s="215" t="s">
        <v>155</v>
      </c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</row>
    <row r="29" ht="15.75" customHeight="1">
      <c r="A29" s="217" t="s">
        <v>157</v>
      </c>
      <c r="B29" s="218" t="s">
        <v>165</v>
      </c>
      <c r="F29" s="219"/>
      <c r="G29" s="219"/>
      <c r="H29" s="219"/>
      <c r="I29" s="221" t="s">
        <v>159</v>
      </c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</row>
    <row r="30" ht="30.75" customHeight="1">
      <c r="A30" s="222" t="s">
        <v>160</v>
      </c>
      <c r="B30" s="223" t="s">
        <v>161</v>
      </c>
      <c r="C30" s="224">
        <v>46210.0</v>
      </c>
      <c r="D30" s="224">
        <v>46260.0</v>
      </c>
      <c r="E30" s="225">
        <v>46291.0</v>
      </c>
      <c r="F30" s="225">
        <v>46321.0</v>
      </c>
      <c r="G30" s="225">
        <v>46352.0</v>
      </c>
      <c r="H30" s="225">
        <v>46382.0</v>
      </c>
      <c r="I30" s="225">
        <v>46048.0</v>
      </c>
      <c r="J30" s="225">
        <v>46079.0</v>
      </c>
      <c r="K30" s="225">
        <v>46107.0</v>
      </c>
      <c r="L30" s="225">
        <v>46138.0</v>
      </c>
      <c r="M30" s="225">
        <v>46168.0</v>
      </c>
      <c r="N30" s="225">
        <v>46199.0</v>
      </c>
      <c r="O30" s="222" t="s">
        <v>96</v>
      </c>
      <c r="P30" s="226" t="s">
        <v>162</v>
      </c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</row>
    <row r="31" ht="22.5" customHeight="1">
      <c r="A31" s="227" t="s">
        <v>58</v>
      </c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>
        <f t="shared" ref="O31:O35" si="7">SUM(C31:L31)</f>
        <v>0</v>
      </c>
      <c r="P31" s="228">
        <f t="shared" ref="P31:P35" si="8">B31+O31</f>
        <v>0</v>
      </c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</row>
    <row r="32" ht="22.5" customHeight="1">
      <c r="A32" s="229" t="s">
        <v>82</v>
      </c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28"/>
      <c r="N32" s="228"/>
      <c r="O32" s="228">
        <f t="shared" si="7"/>
        <v>0</v>
      </c>
      <c r="P32" s="228">
        <f t="shared" si="8"/>
        <v>0</v>
      </c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</row>
    <row r="33" ht="22.5" customHeight="1">
      <c r="A33" s="229" t="s">
        <v>66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28"/>
      <c r="N33" s="228"/>
      <c r="O33" s="228">
        <f t="shared" si="7"/>
        <v>0</v>
      </c>
      <c r="P33" s="228">
        <f t="shared" si="8"/>
        <v>0</v>
      </c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</row>
    <row r="34" ht="22.5" customHeight="1">
      <c r="A34" s="229" t="s">
        <v>163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28"/>
      <c r="N34" s="228"/>
      <c r="O34" s="228">
        <f t="shared" si="7"/>
        <v>0</v>
      </c>
      <c r="P34" s="228">
        <f t="shared" si="8"/>
        <v>0</v>
      </c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</row>
    <row r="35" ht="22.5" customHeight="1">
      <c r="A35" s="229" t="s">
        <v>164</v>
      </c>
      <c r="B35" s="230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2"/>
      <c r="N35" s="232"/>
      <c r="O35" s="232">
        <f t="shared" si="7"/>
        <v>0</v>
      </c>
      <c r="P35" s="232">
        <f t="shared" si="8"/>
        <v>0</v>
      </c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</row>
    <row r="36" ht="15.75" customHeight="1">
      <c r="A36" s="216"/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</row>
    <row r="37" ht="15.75" customHeight="1">
      <c r="A37" s="215" t="s">
        <v>155</v>
      </c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</row>
    <row r="38" ht="15.75" customHeight="1">
      <c r="A38" s="217" t="s">
        <v>157</v>
      </c>
      <c r="B38" s="218" t="s">
        <v>158</v>
      </c>
      <c r="F38" s="219"/>
      <c r="G38" s="219"/>
      <c r="H38" s="219"/>
      <c r="I38" s="221" t="s">
        <v>159</v>
      </c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</row>
    <row r="39" ht="33.0" customHeight="1">
      <c r="A39" s="222" t="s">
        <v>160</v>
      </c>
      <c r="B39" s="223" t="s">
        <v>161</v>
      </c>
      <c r="C39" s="224">
        <v>46210.0</v>
      </c>
      <c r="D39" s="224">
        <v>46260.0</v>
      </c>
      <c r="E39" s="225">
        <v>46291.0</v>
      </c>
      <c r="F39" s="225">
        <v>46321.0</v>
      </c>
      <c r="G39" s="225">
        <v>46352.0</v>
      </c>
      <c r="H39" s="225">
        <v>46382.0</v>
      </c>
      <c r="I39" s="225">
        <v>46048.0</v>
      </c>
      <c r="J39" s="225">
        <v>46079.0</v>
      </c>
      <c r="K39" s="225">
        <v>46107.0</v>
      </c>
      <c r="L39" s="225">
        <v>46138.0</v>
      </c>
      <c r="M39" s="225">
        <v>46168.0</v>
      </c>
      <c r="N39" s="225">
        <v>46199.0</v>
      </c>
      <c r="O39" s="222" t="s">
        <v>96</v>
      </c>
      <c r="P39" s="226" t="s">
        <v>162</v>
      </c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</row>
    <row r="40" ht="22.5" customHeight="1">
      <c r="A40" s="227" t="s">
        <v>58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>
        <f t="shared" ref="O40:O44" si="9">SUM(C40:L40)</f>
        <v>0</v>
      </c>
      <c r="P40" s="228">
        <f t="shared" ref="P40:P44" si="10">B40+O40</f>
        <v>0</v>
      </c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</row>
    <row r="41" ht="22.5" customHeight="1">
      <c r="A41" s="229" t="s">
        <v>82</v>
      </c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28"/>
      <c r="N41" s="228"/>
      <c r="O41" s="228">
        <f t="shared" si="9"/>
        <v>0</v>
      </c>
      <c r="P41" s="228">
        <f t="shared" si="10"/>
        <v>0</v>
      </c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</row>
    <row r="42" ht="22.5" customHeight="1">
      <c r="A42" s="229" t="s">
        <v>66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28"/>
      <c r="N42" s="228"/>
      <c r="O42" s="228">
        <f t="shared" si="9"/>
        <v>0</v>
      </c>
      <c r="P42" s="228">
        <f t="shared" si="10"/>
        <v>0</v>
      </c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</row>
    <row r="43" ht="22.5" customHeight="1">
      <c r="A43" s="229" t="s">
        <v>163</v>
      </c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28"/>
      <c r="N43" s="228"/>
      <c r="O43" s="228">
        <f t="shared" si="9"/>
        <v>0</v>
      </c>
      <c r="P43" s="228">
        <f t="shared" si="10"/>
        <v>0</v>
      </c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</row>
    <row r="44" ht="22.5" customHeight="1">
      <c r="A44" s="229" t="s">
        <v>164</v>
      </c>
      <c r="B44" s="230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2"/>
      <c r="N44" s="232"/>
      <c r="O44" s="232">
        <f t="shared" si="9"/>
        <v>0</v>
      </c>
      <c r="P44" s="232">
        <f t="shared" si="10"/>
        <v>0</v>
      </c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</row>
    <row r="45" ht="15.75" customHeight="1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</row>
    <row r="46" ht="15.75" customHeight="1">
      <c r="A46" s="215" t="s">
        <v>155</v>
      </c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</row>
    <row r="47" ht="15.75" customHeight="1">
      <c r="A47" s="217" t="s">
        <v>157</v>
      </c>
      <c r="B47" s="218" t="s">
        <v>158</v>
      </c>
      <c r="F47" s="219"/>
      <c r="G47" s="219"/>
      <c r="H47" s="219"/>
      <c r="I47" s="221" t="s">
        <v>159</v>
      </c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</row>
    <row r="48" ht="33.75" customHeight="1">
      <c r="A48" s="222" t="s">
        <v>160</v>
      </c>
      <c r="B48" s="223" t="s">
        <v>161</v>
      </c>
      <c r="C48" s="224">
        <v>46210.0</v>
      </c>
      <c r="D48" s="224">
        <v>46260.0</v>
      </c>
      <c r="E48" s="225">
        <v>46291.0</v>
      </c>
      <c r="F48" s="225">
        <v>46321.0</v>
      </c>
      <c r="G48" s="225">
        <v>46352.0</v>
      </c>
      <c r="H48" s="225">
        <v>46382.0</v>
      </c>
      <c r="I48" s="225">
        <v>46048.0</v>
      </c>
      <c r="J48" s="225">
        <v>46079.0</v>
      </c>
      <c r="K48" s="225">
        <v>46107.0</v>
      </c>
      <c r="L48" s="225">
        <v>46138.0</v>
      </c>
      <c r="M48" s="225">
        <v>46168.0</v>
      </c>
      <c r="N48" s="225">
        <v>46199.0</v>
      </c>
      <c r="O48" s="222" t="s">
        <v>96</v>
      </c>
      <c r="P48" s="226" t="s">
        <v>162</v>
      </c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</row>
    <row r="49" ht="22.5" customHeight="1">
      <c r="A49" s="227" t="s">
        <v>58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>
        <f t="shared" ref="O49:O53" si="11">SUM(C49:L49)</f>
        <v>0</v>
      </c>
      <c r="P49" s="228">
        <f t="shared" ref="P49:P53" si="12">B49+O49</f>
        <v>0</v>
      </c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</row>
    <row r="50" ht="22.5" customHeight="1">
      <c r="A50" s="229" t="s">
        <v>82</v>
      </c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28"/>
      <c r="N50" s="228"/>
      <c r="O50" s="228">
        <f t="shared" si="11"/>
        <v>0</v>
      </c>
      <c r="P50" s="228">
        <f t="shared" si="12"/>
        <v>0</v>
      </c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</row>
    <row r="51" ht="22.5" customHeight="1">
      <c r="A51" s="229" t="s">
        <v>66</v>
      </c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28"/>
      <c r="N51" s="228"/>
      <c r="O51" s="228">
        <f t="shared" si="11"/>
        <v>0</v>
      </c>
      <c r="P51" s="228">
        <f t="shared" si="12"/>
        <v>0</v>
      </c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</row>
    <row r="52" ht="22.5" customHeight="1">
      <c r="A52" s="229" t="s">
        <v>163</v>
      </c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28"/>
      <c r="N52" s="228"/>
      <c r="O52" s="228">
        <f t="shared" si="11"/>
        <v>0</v>
      </c>
      <c r="P52" s="228">
        <f t="shared" si="12"/>
        <v>0</v>
      </c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</row>
    <row r="53" ht="22.5" customHeight="1">
      <c r="A53" s="229" t="s">
        <v>164</v>
      </c>
      <c r="B53" s="230"/>
      <c r="C53" s="231"/>
      <c r="D53" s="231"/>
      <c r="E53" s="231"/>
      <c r="F53" s="231"/>
      <c r="G53" s="231"/>
      <c r="H53" s="231"/>
      <c r="I53" s="231"/>
      <c r="J53" s="231"/>
      <c r="K53" s="231"/>
      <c r="L53" s="231"/>
      <c r="M53" s="232"/>
      <c r="N53" s="232"/>
      <c r="O53" s="232">
        <f t="shared" si="11"/>
        <v>0</v>
      </c>
      <c r="P53" s="232">
        <f t="shared" si="12"/>
        <v>0</v>
      </c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  <c r="AB53" s="216"/>
      <c r="AC53" s="216"/>
    </row>
    <row r="54" ht="15.75" customHeight="1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</row>
    <row r="55" ht="15.75" customHeight="1">
      <c r="A55" s="215" t="s">
        <v>155</v>
      </c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</row>
    <row r="56" ht="15.75" customHeight="1">
      <c r="A56" s="217" t="s">
        <v>157</v>
      </c>
      <c r="B56" s="218" t="s">
        <v>169</v>
      </c>
      <c r="F56" s="219"/>
      <c r="G56" s="219"/>
      <c r="H56" s="219"/>
      <c r="I56" s="221" t="s">
        <v>159</v>
      </c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</row>
    <row r="57" ht="29.25" customHeight="1">
      <c r="A57" s="222" t="s">
        <v>160</v>
      </c>
      <c r="B57" s="223" t="s">
        <v>161</v>
      </c>
      <c r="C57" s="224">
        <v>46210.0</v>
      </c>
      <c r="D57" s="224">
        <v>46260.0</v>
      </c>
      <c r="E57" s="225">
        <v>46291.0</v>
      </c>
      <c r="F57" s="225">
        <v>46321.0</v>
      </c>
      <c r="G57" s="225">
        <v>46352.0</v>
      </c>
      <c r="H57" s="225">
        <v>46382.0</v>
      </c>
      <c r="I57" s="225">
        <v>46048.0</v>
      </c>
      <c r="J57" s="225">
        <v>46079.0</v>
      </c>
      <c r="K57" s="225">
        <v>46107.0</v>
      </c>
      <c r="L57" s="225">
        <v>46138.0</v>
      </c>
      <c r="M57" s="225">
        <v>46168.0</v>
      </c>
      <c r="N57" s="225">
        <v>46199.0</v>
      </c>
      <c r="O57" s="222" t="s">
        <v>96</v>
      </c>
      <c r="P57" s="226" t="s">
        <v>162</v>
      </c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</row>
    <row r="58" ht="23.25" customHeight="1">
      <c r="A58" s="228" t="s">
        <v>58</v>
      </c>
      <c r="B58" s="228">
        <f t="shared" ref="B58:L58" si="13">SUM(B49,B40,B31,B22,B13,B4)</f>
        <v>0</v>
      </c>
      <c r="C58" s="228">
        <f t="shared" si="13"/>
        <v>0</v>
      </c>
      <c r="D58" s="228">
        <f t="shared" si="13"/>
        <v>0</v>
      </c>
      <c r="E58" s="228">
        <f t="shared" si="13"/>
        <v>0</v>
      </c>
      <c r="F58" s="228">
        <f t="shared" si="13"/>
        <v>0</v>
      </c>
      <c r="G58" s="228">
        <f t="shared" si="13"/>
        <v>0</v>
      </c>
      <c r="H58" s="228">
        <f t="shared" si="13"/>
        <v>0</v>
      </c>
      <c r="I58" s="228">
        <f t="shared" si="13"/>
        <v>0</v>
      </c>
      <c r="J58" s="228">
        <f t="shared" si="13"/>
        <v>0</v>
      </c>
      <c r="K58" s="228">
        <f t="shared" si="13"/>
        <v>0</v>
      </c>
      <c r="L58" s="228">
        <f t="shared" si="13"/>
        <v>0</v>
      </c>
      <c r="M58" s="228"/>
      <c r="N58" s="228"/>
      <c r="O58" s="228">
        <f t="shared" ref="O58:P58" si="14">SUM(O49,O40,O31,O22,O13,O4)</f>
        <v>0</v>
      </c>
      <c r="P58" s="228">
        <f t="shared" si="14"/>
        <v>0</v>
      </c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</row>
    <row r="59" ht="23.25" customHeight="1">
      <c r="A59" s="230" t="s">
        <v>82</v>
      </c>
      <c r="B59" s="228">
        <f t="shared" ref="B59:L59" si="15">SUM(B50,B41,B32,B23,B14,B5)</f>
        <v>0</v>
      </c>
      <c r="C59" s="228">
        <f t="shared" si="15"/>
        <v>0</v>
      </c>
      <c r="D59" s="228">
        <f t="shared" si="15"/>
        <v>0</v>
      </c>
      <c r="E59" s="228">
        <f t="shared" si="15"/>
        <v>0</v>
      </c>
      <c r="F59" s="228">
        <f t="shared" si="15"/>
        <v>0</v>
      </c>
      <c r="G59" s="228">
        <f t="shared" si="15"/>
        <v>0</v>
      </c>
      <c r="H59" s="228">
        <f t="shared" si="15"/>
        <v>0</v>
      </c>
      <c r="I59" s="228">
        <f t="shared" si="15"/>
        <v>0</v>
      </c>
      <c r="J59" s="228">
        <f t="shared" si="15"/>
        <v>0</v>
      </c>
      <c r="K59" s="228">
        <f t="shared" si="15"/>
        <v>0</v>
      </c>
      <c r="L59" s="228">
        <f t="shared" si="15"/>
        <v>0</v>
      </c>
      <c r="M59" s="228"/>
      <c r="N59" s="228"/>
      <c r="O59" s="228">
        <f t="shared" ref="O59:P59" si="16">SUM(O50,O41,O32,O23,O14,O5)</f>
        <v>0</v>
      </c>
      <c r="P59" s="228">
        <f t="shared" si="16"/>
        <v>0</v>
      </c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</row>
    <row r="60" ht="23.25" customHeight="1">
      <c r="A60" s="230" t="s">
        <v>66</v>
      </c>
      <c r="B60" s="228">
        <f t="shared" ref="B60:L60" si="17">SUM(B51,B42,B33,B24,B15,B6)</f>
        <v>0</v>
      </c>
      <c r="C60" s="228">
        <f t="shared" si="17"/>
        <v>0</v>
      </c>
      <c r="D60" s="228">
        <f t="shared" si="17"/>
        <v>0</v>
      </c>
      <c r="E60" s="228">
        <f t="shared" si="17"/>
        <v>0</v>
      </c>
      <c r="F60" s="228">
        <f t="shared" si="17"/>
        <v>0</v>
      </c>
      <c r="G60" s="228">
        <f t="shared" si="17"/>
        <v>0</v>
      </c>
      <c r="H60" s="228">
        <f t="shared" si="17"/>
        <v>0</v>
      </c>
      <c r="I60" s="228">
        <f t="shared" si="17"/>
        <v>0</v>
      </c>
      <c r="J60" s="228">
        <f t="shared" si="17"/>
        <v>0</v>
      </c>
      <c r="K60" s="228">
        <f t="shared" si="17"/>
        <v>0</v>
      </c>
      <c r="L60" s="228">
        <f t="shared" si="17"/>
        <v>0</v>
      </c>
      <c r="M60" s="228"/>
      <c r="N60" s="228"/>
      <c r="O60" s="228">
        <f t="shared" ref="O60:P60" si="18">SUM(O51,O42,O33,O24,O15,O6)</f>
        <v>0</v>
      </c>
      <c r="P60" s="228">
        <f t="shared" si="18"/>
        <v>0</v>
      </c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</row>
    <row r="61" ht="23.25" customHeight="1">
      <c r="A61" s="230" t="s">
        <v>163</v>
      </c>
      <c r="B61" s="228">
        <f t="shared" ref="B61:L61" si="19">SUM(B52,B43,B34,B25,B16,B7)</f>
        <v>0</v>
      </c>
      <c r="C61" s="228">
        <f t="shared" si="19"/>
        <v>0</v>
      </c>
      <c r="D61" s="228">
        <f t="shared" si="19"/>
        <v>0</v>
      </c>
      <c r="E61" s="228">
        <f t="shared" si="19"/>
        <v>0</v>
      </c>
      <c r="F61" s="228">
        <f t="shared" si="19"/>
        <v>0</v>
      </c>
      <c r="G61" s="228">
        <f t="shared" si="19"/>
        <v>0</v>
      </c>
      <c r="H61" s="228">
        <f t="shared" si="19"/>
        <v>0</v>
      </c>
      <c r="I61" s="228">
        <f t="shared" si="19"/>
        <v>0</v>
      </c>
      <c r="J61" s="228">
        <f t="shared" si="19"/>
        <v>0</v>
      </c>
      <c r="K61" s="228">
        <f t="shared" si="19"/>
        <v>0</v>
      </c>
      <c r="L61" s="228">
        <f t="shared" si="19"/>
        <v>0</v>
      </c>
      <c r="M61" s="228"/>
      <c r="N61" s="228"/>
      <c r="O61" s="228">
        <f t="shared" ref="O61:P61" si="20">SUM(O52,O43,O34,O25,O16,O7)</f>
        <v>0</v>
      </c>
      <c r="P61" s="228">
        <f t="shared" si="20"/>
        <v>0</v>
      </c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</row>
    <row r="62" ht="23.25" customHeight="1">
      <c r="A62" s="230" t="s">
        <v>164</v>
      </c>
      <c r="B62" s="228">
        <f t="shared" ref="B62:L62" si="21">SUM(B53,B44,B35,B26,B17,B8)</f>
        <v>0</v>
      </c>
      <c r="C62" s="232">
        <f t="shared" si="21"/>
        <v>0</v>
      </c>
      <c r="D62" s="232">
        <f t="shared" si="21"/>
        <v>0</v>
      </c>
      <c r="E62" s="232">
        <f t="shared" si="21"/>
        <v>0</v>
      </c>
      <c r="F62" s="232">
        <f t="shared" si="21"/>
        <v>0</v>
      </c>
      <c r="G62" s="232">
        <f t="shared" si="21"/>
        <v>0</v>
      </c>
      <c r="H62" s="232">
        <f t="shared" si="21"/>
        <v>0</v>
      </c>
      <c r="I62" s="232">
        <f t="shared" si="21"/>
        <v>0</v>
      </c>
      <c r="J62" s="232">
        <f t="shared" si="21"/>
        <v>0</v>
      </c>
      <c r="K62" s="232">
        <f t="shared" si="21"/>
        <v>0</v>
      </c>
      <c r="L62" s="232">
        <f t="shared" si="21"/>
        <v>0</v>
      </c>
      <c r="M62" s="232"/>
      <c r="N62" s="232"/>
      <c r="O62" s="232">
        <f t="shared" ref="O62:P62" si="22">SUM(O53,O44,O35,O26,O17,O8)</f>
        <v>0</v>
      </c>
      <c r="P62" s="232">
        <f t="shared" si="22"/>
        <v>0</v>
      </c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</row>
    <row r="63" ht="15.75" customHeight="1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</row>
    <row r="64" ht="15.75" customHeight="1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</row>
    <row r="65" ht="15.75" customHeight="1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</row>
    <row r="66" ht="15.75" customHeight="1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</row>
    <row r="67" ht="15.75" customHeight="1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</row>
    <row r="68" ht="15.75" customHeight="1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</row>
    <row r="69" ht="15.75" customHeight="1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</row>
    <row r="70" ht="15.75" customHeight="1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</row>
    <row r="71" ht="15.75" customHeight="1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</row>
    <row r="72" ht="15.75" customHeight="1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</row>
    <row r="73" ht="15.75" customHeight="1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</row>
    <row r="74" ht="15.75" customHeight="1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</row>
    <row r="75" ht="15.75" customHeight="1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</row>
    <row r="76" ht="15.75" customHeight="1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</row>
    <row r="77" ht="15.75" customHeight="1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</row>
    <row r="78" ht="15.75" customHeight="1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</row>
    <row r="79" ht="15.75" customHeight="1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</row>
    <row r="80" ht="15.75" customHeight="1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</row>
    <row r="81" ht="15.75" customHeight="1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</row>
    <row r="82" ht="15.75" customHeight="1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</row>
    <row r="83" ht="15.75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</row>
    <row r="84" ht="15.75" customHeight="1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</row>
    <row r="85" ht="15.75" customHeight="1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</row>
    <row r="86" ht="15.75" customHeight="1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</row>
    <row r="87" ht="15.7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</row>
    <row r="88" ht="15.7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</row>
    <row r="89" ht="15.7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</row>
    <row r="90" ht="15.7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</row>
    <row r="91" ht="15.7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</row>
    <row r="92" ht="15.7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</row>
    <row r="93" ht="15.7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</row>
    <row r="94" ht="15.7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</row>
    <row r="95" ht="15.7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</row>
    <row r="96" ht="15.7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</row>
    <row r="97" ht="15.7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</row>
    <row r="98" ht="15.7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</row>
    <row r="99" ht="15.7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</row>
    <row r="100" ht="15.7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</row>
    <row r="101" ht="15.75" customHeight="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</row>
    <row r="102" ht="15.75" customHeight="1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</row>
    <row r="103" ht="15.75" customHeight="1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</row>
    <row r="104" ht="15.75" customHeight="1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</row>
    <row r="105" ht="15.75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</row>
    <row r="106" ht="15.75" customHeight="1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</row>
    <row r="107" ht="15.75" customHeight="1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</row>
    <row r="108" ht="15.75" customHeight="1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</row>
    <row r="109" ht="15.75" customHeight="1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</row>
    <row r="110" ht="15.75" customHeight="1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</row>
    <row r="111" ht="15.75" customHeight="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</row>
    <row r="112" ht="15.75" customHeight="1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</row>
    <row r="113" ht="15.75" customHeight="1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</row>
    <row r="114" ht="15.75" customHeight="1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</row>
    <row r="115" ht="15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</row>
    <row r="116" ht="15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</row>
    <row r="117" ht="15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</row>
    <row r="118" ht="15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</row>
    <row r="119" ht="15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</row>
    <row r="120" ht="15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</row>
    <row r="121" ht="15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</row>
    <row r="122" ht="15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</row>
    <row r="123" ht="15.75" customHeight="1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</row>
    <row r="124" ht="15.75" customHeight="1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</row>
    <row r="125" ht="15.75" customHeight="1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</row>
    <row r="126" ht="15.75" customHeight="1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</row>
    <row r="127" ht="15.75" customHeight="1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</row>
    <row r="128" ht="15.75" customHeight="1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</row>
    <row r="129" ht="15.75" customHeight="1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</row>
    <row r="130" ht="15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  <c r="AB130" s="216"/>
      <c r="AC130" s="216"/>
    </row>
    <row r="131" ht="15.75" customHeight="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  <c r="AB131" s="216"/>
      <c r="AC131" s="216"/>
    </row>
    <row r="132" ht="15.75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</row>
    <row r="133" ht="15.75" customHeight="1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</row>
    <row r="134" ht="15.75" customHeight="1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</row>
    <row r="135" ht="15.75" customHeight="1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</row>
    <row r="136" ht="15.75" customHeight="1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</row>
    <row r="137" ht="15.75" customHeight="1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</row>
    <row r="138" ht="15.75" customHeight="1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</row>
    <row r="139" ht="15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</row>
    <row r="140" ht="15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</row>
    <row r="141" ht="15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</row>
    <row r="142" ht="15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</row>
    <row r="143" ht="15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</row>
    <row r="144" ht="15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</row>
    <row r="145" ht="15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</row>
    <row r="146" ht="15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</row>
    <row r="147" ht="15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</row>
    <row r="148" ht="15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</row>
    <row r="149" ht="15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</row>
    <row r="150" ht="15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</row>
    <row r="151" ht="15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</row>
    <row r="152" ht="15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</row>
    <row r="153" ht="15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</row>
    <row r="154" ht="15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</row>
    <row r="155" ht="15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</row>
    <row r="156" ht="15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</row>
    <row r="157" ht="15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</row>
    <row r="158" ht="15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</row>
    <row r="159" ht="15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</row>
    <row r="160" ht="15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</row>
    <row r="161" ht="15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</row>
    <row r="162" ht="15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</row>
    <row r="163" ht="15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</row>
    <row r="164" ht="15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</row>
    <row r="165" ht="15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</row>
    <row r="166" ht="15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</row>
    <row r="167" ht="15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</row>
    <row r="168" ht="15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</row>
    <row r="169" ht="15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</row>
    <row r="170" ht="15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</row>
    <row r="171" ht="15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</row>
    <row r="172" ht="15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</row>
    <row r="173" ht="15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</row>
    <row r="174" ht="15.75" customHeight="1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</row>
    <row r="175" ht="15.75" customHeight="1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</row>
    <row r="176" ht="15.75" customHeight="1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</row>
    <row r="177" ht="15.75" customHeight="1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</row>
    <row r="178" ht="15.75" customHeight="1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</row>
    <row r="179" ht="15.75" customHeight="1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</row>
    <row r="180" ht="15.75" customHeight="1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</row>
    <row r="181" ht="15.75" customHeight="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</row>
    <row r="182" ht="15.75" customHeight="1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</row>
    <row r="183" ht="15.75" customHeight="1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</row>
    <row r="184" ht="15.75" customHeight="1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</row>
    <row r="185" ht="15.75" customHeight="1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</row>
    <row r="186" ht="15.75" customHeight="1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</row>
    <row r="187" ht="15.75" customHeight="1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</row>
    <row r="188" ht="15.75" customHeight="1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</row>
    <row r="189" ht="15.75" customHeight="1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</row>
    <row r="190" ht="15.75" customHeight="1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</row>
    <row r="191" ht="15.75" customHeight="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</row>
    <row r="192" ht="15.75" customHeight="1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</row>
    <row r="193" ht="15.75" customHeight="1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</row>
    <row r="194" ht="15.75" customHeight="1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</row>
    <row r="195" ht="15.75" customHeight="1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</row>
    <row r="196" ht="15.75" customHeight="1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</row>
    <row r="197" ht="15.75" customHeight="1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</row>
    <row r="198" ht="15.75" customHeight="1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</row>
    <row r="199" ht="15.75" customHeight="1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</row>
    <row r="200" ht="15.75" customHeight="1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</row>
    <row r="201" ht="15.75" customHeight="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</row>
    <row r="202" ht="15.75" customHeight="1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</row>
    <row r="203" ht="15.75" customHeight="1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</row>
    <row r="204" ht="15.75" customHeight="1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</row>
    <row r="205" ht="15.75" customHeight="1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</row>
    <row r="206" ht="15.75" customHeight="1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</row>
    <row r="207" ht="15.75" customHeight="1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</row>
    <row r="208" ht="15.75" customHeight="1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  <c r="AB208" s="216"/>
      <c r="AC208" s="216"/>
    </row>
    <row r="209" ht="15.75" customHeight="1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</row>
    <row r="210" ht="15.75" customHeight="1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  <c r="AB210" s="216"/>
      <c r="AC210" s="216"/>
    </row>
    <row r="211" ht="15.75" customHeight="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  <c r="AB211" s="216"/>
      <c r="AC211" s="216"/>
    </row>
    <row r="212" ht="15.75" customHeight="1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</row>
    <row r="213" ht="15.75" customHeight="1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</row>
    <row r="214" ht="15.75" customHeight="1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</row>
    <row r="215" ht="15.75" customHeight="1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</row>
    <row r="216" ht="15.75" customHeight="1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</row>
    <row r="217" ht="15.75" customHeight="1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</row>
    <row r="218" ht="15.75" customHeight="1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</row>
    <row r="219" ht="15.75" customHeight="1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</row>
    <row r="220" ht="15.75" customHeight="1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</row>
    <row r="221" ht="15.75" customHeight="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</row>
    <row r="222" ht="15.75" customHeight="1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</row>
    <row r="223" ht="15.75" customHeight="1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</row>
    <row r="224" ht="15.75" customHeight="1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</row>
    <row r="225" ht="15.75" customHeight="1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</row>
    <row r="226" ht="15.75" customHeight="1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</row>
    <row r="227" ht="15.75" customHeight="1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</row>
    <row r="228" ht="15.75" customHeight="1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</row>
    <row r="229" ht="15.75" customHeight="1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</row>
    <row r="230" ht="15.75" customHeight="1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</row>
    <row r="231" ht="15.75" customHeight="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</row>
    <row r="232" ht="15.75" customHeight="1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  <c r="AB232" s="216"/>
      <c r="AC232" s="216"/>
    </row>
    <row r="233" ht="15.75" customHeight="1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</row>
    <row r="234" ht="15.75" customHeight="1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  <c r="AB234" s="216"/>
      <c r="AC234" s="216"/>
    </row>
    <row r="235" ht="15.75" customHeight="1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  <c r="AB235" s="216"/>
      <c r="AC235" s="216"/>
    </row>
    <row r="236" ht="15.75" customHeight="1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  <c r="AB236" s="216"/>
      <c r="AC236" s="216"/>
    </row>
    <row r="237" ht="15.75" customHeight="1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</row>
    <row r="238" ht="15.75" customHeight="1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</row>
    <row r="239" ht="15.75" customHeight="1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  <c r="AB239" s="216"/>
      <c r="AC239" s="216"/>
    </row>
    <row r="240" ht="15.75" customHeight="1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  <c r="AB240" s="216"/>
      <c r="AC240" s="216"/>
    </row>
    <row r="241" ht="15.75" customHeight="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  <c r="AB241" s="216"/>
      <c r="AC241" s="216"/>
    </row>
    <row r="242" ht="15.75" customHeight="1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  <c r="AB242" s="216"/>
      <c r="AC242" s="216"/>
    </row>
    <row r="243" ht="15.75" customHeight="1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  <c r="AB243" s="216"/>
      <c r="AC243" s="216"/>
    </row>
    <row r="244" ht="15.75" customHeight="1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</row>
    <row r="245" ht="15.75" customHeight="1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</row>
    <row r="246" ht="15.75" customHeight="1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  <c r="AB246" s="216"/>
      <c r="AC246" s="216"/>
    </row>
    <row r="247" ht="15.75" customHeight="1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  <c r="AB247" s="216"/>
      <c r="AC247" s="216"/>
    </row>
    <row r="248" ht="15.75" customHeight="1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  <c r="AB248" s="216"/>
      <c r="AC248" s="216"/>
    </row>
    <row r="249" ht="15.75" customHeight="1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  <c r="AB249" s="216"/>
      <c r="AC249" s="216"/>
    </row>
    <row r="250" ht="15.75" customHeight="1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  <c r="AB250" s="216"/>
      <c r="AC250" s="216"/>
    </row>
    <row r="251" ht="15.75" customHeight="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  <c r="AB251" s="216"/>
      <c r="AC251" s="216"/>
    </row>
    <row r="252" ht="15.75" customHeight="1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  <c r="AB252" s="216"/>
      <c r="AC252" s="216"/>
    </row>
    <row r="253" ht="15.75" customHeight="1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  <c r="AB253" s="216"/>
      <c r="AC253" s="216"/>
    </row>
    <row r="254" ht="15.75" customHeight="1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  <c r="AB254" s="216"/>
      <c r="AC254" s="216"/>
    </row>
    <row r="255" ht="15.75" customHeight="1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  <c r="AB255" s="216"/>
      <c r="AC255" s="216"/>
    </row>
    <row r="256" ht="15.75" customHeight="1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  <c r="AB256" s="216"/>
      <c r="AC256" s="216"/>
    </row>
    <row r="257" ht="15.75" customHeight="1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  <c r="AB257" s="216"/>
      <c r="AC257" s="216"/>
    </row>
    <row r="258" ht="15.75" customHeight="1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  <c r="AB258" s="216"/>
      <c r="AC258" s="216"/>
    </row>
    <row r="259" ht="15.75" customHeight="1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  <c r="AB259" s="216"/>
      <c r="AC259" s="216"/>
    </row>
    <row r="260" ht="15.75" customHeight="1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  <c r="AB260" s="216"/>
      <c r="AC260" s="216"/>
    </row>
    <row r="261" ht="15.75" customHeight="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  <c r="AB261" s="216"/>
      <c r="AC261" s="216"/>
    </row>
    <row r="262" ht="15.75" customHeight="1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P1"/>
    <mergeCell ref="B2:E2"/>
    <mergeCell ref="I2:P2"/>
    <mergeCell ref="A10:P10"/>
    <mergeCell ref="B11:E11"/>
    <mergeCell ref="I11:P11"/>
    <mergeCell ref="A19:P19"/>
    <mergeCell ref="I38:P38"/>
    <mergeCell ref="A46:P46"/>
    <mergeCell ref="B47:E47"/>
    <mergeCell ref="I47:P47"/>
    <mergeCell ref="A55:P55"/>
    <mergeCell ref="B56:E56"/>
    <mergeCell ref="I56:P56"/>
    <mergeCell ref="B20:E20"/>
    <mergeCell ref="I20:P20"/>
    <mergeCell ref="A28:P28"/>
    <mergeCell ref="B29:E29"/>
    <mergeCell ref="I29:P29"/>
    <mergeCell ref="A37:P37"/>
    <mergeCell ref="B38:E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40.5" customHeight="1">
      <c r="A1" s="253" t="s">
        <v>58</v>
      </c>
      <c r="B1" s="15"/>
      <c r="C1" s="253" t="s">
        <v>82</v>
      </c>
      <c r="D1" s="15"/>
      <c r="E1" s="253" t="s">
        <v>66</v>
      </c>
      <c r="F1" s="15"/>
      <c r="G1" s="253" t="s">
        <v>163</v>
      </c>
      <c r="H1" s="15"/>
      <c r="I1" s="253" t="s">
        <v>137</v>
      </c>
      <c r="J1" s="15"/>
    </row>
    <row r="2" ht="40.5" customHeight="1">
      <c r="A2" s="254" t="s">
        <v>172</v>
      </c>
      <c r="B2" s="254" t="s">
        <v>101</v>
      </c>
      <c r="C2" s="254" t="s">
        <v>172</v>
      </c>
      <c r="D2" s="254" t="s">
        <v>101</v>
      </c>
      <c r="E2" s="254" t="s">
        <v>172</v>
      </c>
      <c r="F2" s="254" t="s">
        <v>101</v>
      </c>
      <c r="G2" s="254" t="s">
        <v>172</v>
      </c>
      <c r="H2" s="254" t="s">
        <v>101</v>
      </c>
      <c r="I2" s="254" t="s">
        <v>172</v>
      </c>
      <c r="J2" s="254" t="s">
        <v>101</v>
      </c>
    </row>
    <row r="3" ht="40.5" customHeight="1">
      <c r="A3" s="255">
        <v>893.0</v>
      </c>
      <c r="B3" s="255">
        <v>897.0</v>
      </c>
      <c r="C3" s="255">
        <v>747.0</v>
      </c>
      <c r="D3" s="255">
        <v>741.0</v>
      </c>
      <c r="E3" s="255">
        <v>1.5977436E7</v>
      </c>
      <c r="F3" s="255">
        <v>1.626696E7</v>
      </c>
      <c r="G3" s="255">
        <v>5.1484373E7</v>
      </c>
      <c r="H3" s="255">
        <v>5.1988891E7</v>
      </c>
      <c r="I3" s="255">
        <v>2479055.0</v>
      </c>
      <c r="J3" s="255">
        <v>2473437.0</v>
      </c>
    </row>
  </sheetData>
  <mergeCells count="5">
    <mergeCell ref="A1:B1"/>
    <mergeCell ref="C1:D1"/>
    <mergeCell ref="E1:F1"/>
    <mergeCell ref="G1:H1"/>
    <mergeCell ref="I1:J1"/>
  </mergeCells>
  <drawing r:id="rId1"/>
</worksheet>
</file>